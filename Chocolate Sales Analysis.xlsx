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USE\Downloads\"/>
    </mc:Choice>
  </mc:AlternateContent>
  <xr:revisionPtr revIDLastSave="0" documentId="13_ncr:1_{5CE4C27D-4E3F-4DAA-A8FF-23B962FE01CF}" xr6:coauthVersionLast="47" xr6:coauthVersionMax="47" xr10:uidLastSave="{00000000-0000-0000-0000-000000000000}"/>
  <bookViews>
    <workbookView xWindow="-120" yWindow="-120" windowWidth="20730" windowHeight="11160" firstSheet="3" activeTab="3" xr2:uid="{4CD33F16-7547-427D-885C-FA8486BB77B6}"/>
  </bookViews>
  <sheets>
    <sheet name="raw_data" sheetId="1" r:id="rId1"/>
    <sheet name="clean_data" sheetId="2" r:id="rId2"/>
    <sheet name="pivot_tabel" sheetId="3" r:id="rId3"/>
    <sheet name="analysis" sheetId="5" r:id="rId4"/>
    <sheet name="dashboard" sheetId="4" r:id="rId5"/>
  </sheets>
  <definedNames>
    <definedName name="NativeTimeline_Date">#N/A</definedName>
    <definedName name="Slicer_Country">#N/A</definedName>
  </definedNames>
  <calcPr calcId="191029"/>
  <pivotCaches>
    <pivotCache cacheId="7"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3" l="1"/>
</calcChain>
</file>

<file path=xl/sharedStrings.xml><?xml version="1.0" encoding="utf-8"?>
<sst xmlns="http://schemas.openxmlformats.org/spreadsheetml/2006/main" count="4621" uniqueCount="1213">
  <si>
    <t>Sales Person,Country,Product,Date,Amount,Boxes Shipped</t>
  </si>
  <si>
    <t>Jehu Rudeforth,UK,Mint Chip Choco,04-Jan-22,"$5,320 ",180</t>
  </si>
  <si>
    <t>Van Tuxwell,India,85% Dark Bars,01-Aug-22,"$7,896 ",94</t>
  </si>
  <si>
    <t>Gigi Bohling,India,Peanut Butter Cubes,07-Jul-22,"$4,501 ",91</t>
  </si>
  <si>
    <t>Jan Morforth,Australia,Peanut Butter Cubes,27-Apr-22,"$12,726 ",342</t>
  </si>
  <si>
    <t>Jehu Rudeforth,UK,Peanut Butter Cubes,24-Feb-22,"$13,685 ",184</t>
  </si>
  <si>
    <t>Van Tuxwell,India,Smooth Sliky Salty,06-Jun-22,"$5,376 ",38</t>
  </si>
  <si>
    <t>Oby Sorrel,UK,99% Dark &amp; Pure,25-Jan-22,"$13,685 ",176</t>
  </si>
  <si>
    <t>Gunar Cockshoot,Australia,After Nines,24-Mar-22,"$3,080 ",73</t>
  </si>
  <si>
    <t>Jehu Rudeforth,New Zealand,50% Dark Bites,20-Apr-22,"$3,990 ",59</t>
  </si>
  <si>
    <t>Brien Boise,Australia,99% Dark &amp; Pure,04-Jul-22,"$2,835 ",102</t>
  </si>
  <si>
    <t>Rafaelita Blaksland,UK,Smooth Sliky Salty,13-Jan-22,"$4,704 ",62</t>
  </si>
  <si>
    <t>Barr Faughny,USA,Orange Choco,10-Mar-22,"$3,703 ",11</t>
  </si>
  <si>
    <t>Mallorie Waber,Canada,Eclairs,13-Jan-22,"$1,442 ",286</t>
  </si>
  <si>
    <t>Karlen McCaffrey,New Zealand,Drinking Coco,28-Jul-22,$168 ,156</t>
  </si>
  <si>
    <t>Marney O'Breen,New Zealand,Peanut Butter Cubes,03-Aug-22,"$8,379 ",173</t>
  </si>
  <si>
    <t>Beverie Moffet,Australia,Organic Choco Syrup,26-Jan-22,"$6,790 ",356</t>
  </si>
  <si>
    <t>Van Tuxwell,Canada,Organic Choco Syrup,14-Feb-22,"$4,067 ",42</t>
  </si>
  <si>
    <t>Roddy Speechley,USA,Smooth Sliky Salty,05-Apr-22,"$3,017 ",140</t>
  </si>
  <si>
    <t>Beverie Moffet,Canada,Milk Bars,16-Feb-22,"$8,799 ",250</t>
  </si>
  <si>
    <t>Curtice Advani,UK,85% Dark Bars,08-Jun-22,"$1,085 ",172</t>
  </si>
  <si>
    <t>Brien Boise,Australia,Eclairs,27-Jun-22,"$6,888 ",88</t>
  </si>
  <si>
    <t>Gunar Cockshoot,USA,Spicy Special Slims,17-Feb-22,"$1,267 ",157</t>
  </si>
  <si>
    <t>Marney O'Breen,USA,After Nines,30-May-22,"$4,753 ",163</t>
  </si>
  <si>
    <t>Husein Augar,UK,Drinking Coco,14-Mar-22,"$3,003 ",113</t>
  </si>
  <si>
    <t>Kaine Padly,Australia,Eclairs,28-Feb-22,"$7,672 ",115</t>
  </si>
  <si>
    <t>Karlen McCaffrey,India,Fruit &amp; Nut Bars,26-Jan-22,$168 ,321</t>
  </si>
  <si>
    <t>Roddy Speechley,Canada,Spicy Special Slims,09-Feb-22,"$1,652 ",186</t>
  </si>
  <si>
    <t>Husein Augar,USA,Eclairs,07-Jul-22,"$4,025 ",112</t>
  </si>
  <si>
    <t>Dennison Crosswaite,New Zealand,White Choc,05-Jul-22,"$9,492 ",151</t>
  </si>
  <si>
    <t>Dennison Crosswaite,New Zealand,Manuka Honey Choco,15-Jun-22,"$5,061 ",301</t>
  </si>
  <si>
    <t>Van Tuxwell,New Zealand,85% Dark Bars,24-May-22,"$1,722 ",121</t>
  </si>
  <si>
    <t>Rafaelita Blaksland,UK,99% Dark &amp; Pure,29-Jun-22,"$12,446 ",150</t>
  </si>
  <si>
    <t>Wilone O'Kielt,Australia,Manuka Honey Choco,11-May-22,"$4,284 ",94</t>
  </si>
  <si>
    <t>Karlen McCaffrey,UK,Almond Choco,30-Jun-22,"$6,839 ",133</t>
  </si>
  <si>
    <t>Andria Kimpton,Canada,After Nines,11-May-22,"$2,163 ",70</t>
  </si>
  <si>
    <t>Roddy Speechley,USA,Manuka Honey Choco,22-Jul-22,"$9,583 ",315</t>
  </si>
  <si>
    <t>Andria Kimpton,UK,50% Dark Bites,24-Aug-22,"$2,653 ",314</t>
  </si>
  <si>
    <t>Kelci Walkden,New Zealand,After Nines,07-Jul-22,$147 ,72</t>
  </si>
  <si>
    <t>Camilla Castle,Australia,85% Dark Bars,19-May-22,"$3,654 ",14</t>
  </si>
  <si>
    <t>Karlen McCaffrey,India,Manuka Honey Choco,04-Jul-22,"$2,443 ",581</t>
  </si>
  <si>
    <t>Kelci Walkden,USA,After Nines,02-Jun-22,$938 ,16</t>
  </si>
  <si>
    <t>Karlen McCaffrey,USA,Raspberry Choco,15-Apr-22,"$14,749 ",354</t>
  </si>
  <si>
    <t>Mallorie Waber,Canada,Choco Coated Almonds,11-Jul-22,"$4,781 ",241</t>
  </si>
  <si>
    <t>Andria Kimpton,India,Spicy Special Slims,23-Feb-22,"$6,307 ",142</t>
  </si>
  <si>
    <t>Madelene Upcott,Canada,Almond Choco,22-Aug-22,"$7,602 ",102</t>
  </si>
  <si>
    <t>Kaine Padly,USA,Peanut Butter Cubes,16-Feb-22,"$6,790 ",188</t>
  </si>
  <si>
    <t>Van Tuxwell,USA,50% Dark Bites,13-Jan-22,"$9,737 ",160</t>
  </si>
  <si>
    <t>Curtice Advani,Australia,Milk Bars,14-Feb-22,"$6,979 ",18</t>
  </si>
  <si>
    <t>Roddy Speechley,India,Eclairs,10-Jun-22,"$4,382 ",303</t>
  </si>
  <si>
    <t>Curtice Advani,India,Fruit &amp; Nut Bars,07-Jul-22,"$5,243 ",176</t>
  </si>
  <si>
    <t>Curtice Advani,Canada,Almond Choco,24-Mar-22,"$4,865 ",70</t>
  </si>
  <si>
    <t>Brien Boise,Australia,Fruit &amp; Nut Bars,06-Jun-22,"$8,575 ",23</t>
  </si>
  <si>
    <t>Dotty Strutley,Australia,Drinking Coco,19-Jul-22,$91 ,135</t>
  </si>
  <si>
    <t>Beverie Moffet,USA,Raspberry Choco,19-Apr-22,"$14,798 ",83</t>
  </si>
  <si>
    <t>Marney O'Breen,India,85% Dark Bars,19-Jul-22,"$2,205 ",179</t>
  </si>
  <si>
    <t>Jehu Rudeforth,Canada,Drinking Coco,15-Jul-22,$441 ,24</t>
  </si>
  <si>
    <t>Ches Bonnell,New Zealand,Spicy Special Slims,14-Feb-22,"$3,556 ",18</t>
  </si>
  <si>
    <t>Brien Boise,Canada,99% Dark &amp; Pure,18-May-22,"$16,793 ",416</t>
  </si>
  <si>
    <t>Barr Faughny,Australia,Fruit &amp; Nut Bars,30-Jun-22,"$15,421 ",55</t>
  </si>
  <si>
    <t>Andria Kimpton,Australia,50% Dark Bites,02-Jun-22,"$4,438 ",227</t>
  </si>
  <si>
    <t>Andria Kimpton,Australia,Drinking Coco,28-Jun-22,"$1,603 ",48</t>
  </si>
  <si>
    <t>Marney O'Breen,Australia,Organic Choco Syrup,16-May-22,$273 ,174</t>
  </si>
  <si>
    <t>Kelci Walkden,Canada,Baker's Choco Chips,26-May-22,"$3,073 ",302</t>
  </si>
  <si>
    <t>Karlen McCaffrey,India,Almond Choco,06-Jul-22,"$6,090 ",149</t>
  </si>
  <si>
    <t>Oby Sorrel,India,99% Dark &amp; Pure,27-May-22,"$10,255 ",11</t>
  </si>
  <si>
    <t>Wilone O'Kielt,Australia,Caramel Stuffed Bars,14-Apr-22,"$2,030 ",11</t>
  </si>
  <si>
    <t>Van Tuxwell,Australia,Organic Choco Syrup,10-Aug-22,"$19,453 ",14</t>
  </si>
  <si>
    <t>Camilla Castle,India,50% Dark Bites,04-Jul-22,"$9,275 ",411</t>
  </si>
  <si>
    <t>Oby Sorrel,India,Organic Choco Syrup,08-Jul-22,"$6,181 ",56</t>
  </si>
  <si>
    <t>Jan Morforth,USA,Peanut Butter Cubes,22-Jul-22,"$9,037 ",102</t>
  </si>
  <si>
    <t>Gigi Bohling,USA,Choco Coated Almonds,02-Mar-22,"$12,313 ",103</t>
  </si>
  <si>
    <t>Gigi Bohling,UK,Almond Choco,10-Jan-22,"$5,642 ",9</t>
  </si>
  <si>
    <t>Jehu Rudeforth,New Zealand,White Choc,11-Mar-22,"$2,800 ",241</t>
  </si>
  <si>
    <t>Andria Kimpton,New Zealand,Peanut Butter Cubes,20-Jun-22,$959 ,265</t>
  </si>
  <si>
    <t>Van Tuxwell,UK,Organic Choco Syrup,26-Aug-22,"$2,002 ",214</t>
  </si>
  <si>
    <t>Roddy Speechley,Canada,Milk Bars,13-Jul-22,$609 ,32</t>
  </si>
  <si>
    <t>Camilla Castle,USA,Spicy Special Slims,11-Feb-22,"$1,274 ",244</t>
  </si>
  <si>
    <t>Marney O'Breen,USA,Orange Choco,27-Jan-22,"$7,595 ",181</t>
  </si>
  <si>
    <t>Van Tuxwell,UK,99% Dark &amp; Pure,31-Jan-22,"$4,725 ",137</t>
  </si>
  <si>
    <t>Camilla Castle,USA,White Choc,18-Aug-22,"$9,681 ",24</t>
  </si>
  <si>
    <t>Andria Kimpton,USA,Raspberry Choco,30-Jun-22,"$14,504 ",21</t>
  </si>
  <si>
    <t>Dotty Strutley,Australia,Fruit &amp; Nut Bars,23-Aug-22,$280 ,311</t>
  </si>
  <si>
    <t>Brien Boise,New Zealand,Mint Chip Choco,01-Aug-22,$63 ,181</t>
  </si>
  <si>
    <t>Roddy Speechley,New Zealand,After Nines,25-May-22,"$8,001 ",10</t>
  </si>
  <si>
    <t>Roddy Speechley,Canada,Organic Choco Syrup,10-Jan-22,"$4,032 ",82</t>
  </si>
  <si>
    <t>Dennison Crosswaite,Australia,70% Dark Bites,07-Feb-22,"$5,859 ",108</t>
  </si>
  <si>
    <t>Karlen McCaffrey,USA,Orange Choco,12-May-22,"$11,095 ",401</t>
  </si>
  <si>
    <t>Madelene Upcott,Australia,Spicy Special Slims,07-Mar-22,"$7,182 ",408</t>
  </si>
  <si>
    <t>Dennison Crosswaite,Australia,85% Dark Bars,05-Apr-22,"$6,881 ",420</t>
  </si>
  <si>
    <t>Andria Kimpton,Canada,Caramel Stuffed Bars,03-Jan-22,"$7,154 ",348</t>
  </si>
  <si>
    <t>Dennison Crosswaite,UK,Eclairs,24-Mar-22,"$6,188 ",270</t>
  </si>
  <si>
    <t>Madelene Upcott,India,Raspberry Choco,07-Jul-22,"$4,221 ",9</t>
  </si>
  <si>
    <t>Van Tuxwell,USA,After Nines,26-Jul-22,$630 ,264</t>
  </si>
  <si>
    <t>Wilone O'Kielt,Australia,Organic Choco Syrup,07-Jul-22,"$1,743 ",111</t>
  </si>
  <si>
    <t>Karlen McCaffrey,Canada,50% Dark Bites,15-Jul-22,"$2,919 ",65</t>
  </si>
  <si>
    <t>Roddy Speechley,New Zealand,Orange Choco,01-Apr-22,$49 ,97</t>
  </si>
  <si>
    <t>Beverie Moffet,Australia,Eclairs,20-Jun-22,"$1,827 ",6</t>
  </si>
  <si>
    <t>Kelci Walkden,UK,Fruit &amp; Nut Bars,29-Jun-22,"$13,006 ",482</t>
  </si>
  <si>
    <t>Marney O'Breen,USA,50% Dark Bites,15-Jun-22,"$1,064 ",106</t>
  </si>
  <si>
    <t>Husein Augar,USA,After Nines,08-Apr-22,"$11,571 ",180</t>
  </si>
  <si>
    <t>Dennison Crosswaite,Australia,Raspberry Choco,14-Mar-22,"$5,740 ",31</t>
  </si>
  <si>
    <t>Andria Kimpton,USA,Fruit &amp; Nut Bars,15-Jul-22,"$1,456 ",359</t>
  </si>
  <si>
    <t>Kelci Walkden,India,Eclairs,19-Apr-22,"$5,334 ",80</t>
  </si>
  <si>
    <t>Marney O'Breen,USA,99% Dark &amp; Pure,28-Mar-22,"$4,151 ",296</t>
  </si>
  <si>
    <t>Brien Boise,Canada,Spicy Special Slims,04-Mar-22,"$8,106 ",101</t>
  </si>
  <si>
    <t>Karlen McCaffrey,New Zealand,70% Dark Bites,02-Aug-22,$126 ,40</t>
  </si>
  <si>
    <t>Husein Augar,UK,Spicy Special Slims,25-Aug-22,"$4,697 ",42</t>
  </si>
  <si>
    <t>Marney O'Breen,USA,Almond Choco,25-Feb-22,"$7,798 ",167</t>
  </si>
  <si>
    <t>Kelci Walkden,India,Orange Choco,07-Jun-22,"$9,408 ",138</t>
  </si>
  <si>
    <t>Jan Morforth,India,Spicy Special Slims,12-Apr-22,"$1,939 ",520</t>
  </si>
  <si>
    <t>Ches Bonnell,India,Spicy Special Slims,06-Jul-22,"$10,906 ",94</t>
  </si>
  <si>
    <t>Kelci Walkden,UK,Smooth Sliky Salty,19-Jan-22,"$5,929 ",175</t>
  </si>
  <si>
    <t>Madelene Upcott,Australia,Fruit &amp; Nut Bars,05-Jan-22,"$5,579 ",92</t>
  </si>
  <si>
    <t>Madelene Upcott,Canada,70% Dark Bites,24-Jan-22,"$10,927 ",141</t>
  </si>
  <si>
    <t>Wilone O'Kielt,Australia,Drinking Coco,06-Apr-22,$623 ,283</t>
  </si>
  <si>
    <t>Gunar Cockshoot,Australia,Fruit &amp; Nut Bars,15-Jun-22,"$6,013 ",21</t>
  </si>
  <si>
    <t>Gigi Bohling,Canada,Baker's Choco Chips,28-Jan-22,"$1,505 ",47</t>
  </si>
  <si>
    <t>Kelci Walkden,India,Caramel Stuffed Bars,16-Mar-22,$476 ,125</t>
  </si>
  <si>
    <t>Rafaelita Blaksland,Australia,Drinking Coco,21-Feb-22,"$11,550 ",396</t>
  </si>
  <si>
    <t>Kelci Walkden,USA,Manuka Honey Choco,16-Feb-22,"$17,318 ",87</t>
  </si>
  <si>
    <t>Jehu Rudeforth,Canada,Spicy Special Slims,13-Jan-22,"$1,848 ",27</t>
  </si>
  <si>
    <t>Kelci Walkden,Australia,Eclairs,23-Mar-22,"$7,273 ",547</t>
  </si>
  <si>
    <t>Curtice Advani,Canada,Spicy Special Slims,16-Jun-22,$854 ,118</t>
  </si>
  <si>
    <t>Oby Sorrel,India,Raspberry Choco,14-Apr-22,"$6,832 ",46</t>
  </si>
  <si>
    <t>Kelci Walkden,UK,Eclairs,25-Jan-22,"$4,606 ",57</t>
  </si>
  <si>
    <t>Jan Morforth,India,Almond Choco,11-Mar-22,"$4,466 ",22</t>
  </si>
  <si>
    <t>Dotty Strutley,UK,Almond Choco,28-Jul-22,"$16,114 ",96</t>
  </si>
  <si>
    <t>Marney O'Breen,New Zealand,After Nines,09-Mar-22,"$1,561 ",44</t>
  </si>
  <si>
    <t>Husein Augar,Australia,Orange Choco,28-Jun-22,"$8,897 ",188</t>
  </si>
  <si>
    <t>Marney O'Breen,Australia,Milk Bars,28-Jul-22,"$2,464 ",387</t>
  </si>
  <si>
    <t>Kelci Walkden,Canada,99% Dark &amp; Pure,15-Aug-22,"$4,830 ",50</t>
  </si>
  <si>
    <t>Kaine Padly,Australia,Manuka Honey Choco,12-Jan-22,"$2,765 ",264</t>
  </si>
  <si>
    <t>Beverie Moffet,New Zealand,White Choc,24-Mar-22,"$7,126 ",7</t>
  </si>
  <si>
    <t>Van Tuxwell,UK,Milk Bars,25-Jul-22,"$4,263 ",90</t>
  </si>
  <si>
    <t>Oby Sorrel,Canada,99% Dark &amp; Pure,01-Aug-22,"$3,605 ",403</t>
  </si>
  <si>
    <t>Van Tuxwell,India,Organic Choco Syrup,16-May-22,"$19,929 ",174</t>
  </si>
  <si>
    <t>Roddy Speechley,India,Smooth Sliky Salty,10-Aug-22,"$5,103 ",140</t>
  </si>
  <si>
    <t>Jan Morforth,India,Eclairs,05-Jan-22,"$2,541 ",27</t>
  </si>
  <si>
    <t>Ches Bonnell,UK,Smooth Sliky Salty,11-Jul-22,"$5,663 ",110</t>
  </si>
  <si>
    <t>Wilone O'Kielt,USA,After Nines,25-Apr-22,$392 ,30</t>
  </si>
  <si>
    <t>Gigi Bohling,New Zealand,Fruit &amp; Nut Bars,04-Apr-22,"$10,976 ",121</t>
  </si>
  <si>
    <t>Barr Faughny,USA,Raspberry Choco,12-Apr-22,"$9,282 ",101</t>
  </si>
  <si>
    <t>Wilone O'Kielt,New Zealand,85% Dark Bars,02-Aug-22,"$1,827 ",117</t>
  </si>
  <si>
    <t>Gigi Bohling,New Zealand,Manuka Honey Choco,28-Jun-22,"$8,267 ",272</t>
  </si>
  <si>
    <t>Ches Bonnell,Australia,Eclairs,05-Jul-22,"$4,116 ",128</t>
  </si>
  <si>
    <t>Rafaelita Blaksland,New Zealand,Choco Coated Almonds,07-Jun-22,"$2,093 ",45</t>
  </si>
  <si>
    <t>Brien Boise,New Zealand,Smooth Sliky Salty,18-Jan-22,"$1,015 ",27</t>
  </si>
  <si>
    <t>Brien Boise,Australia,Baker's Choco Chips,04-Jan-22,"$12,516 ",212</t>
  </si>
  <si>
    <t>Dennison Crosswaite,Australia,99% Dark &amp; Pure,31-Jan-22,"$2,758 ",18</t>
  </si>
  <si>
    <t>Kelci Walkden,India,Almond Choco,14-Mar-22,"$3,297 ",149</t>
  </si>
  <si>
    <t>Camilla Castle,Australia,70% Dark Bites,29-Apr-22,"$6,048 ",477</t>
  </si>
  <si>
    <t>Oby Sorrel,India,Smooth Sliky Salty,07-Feb-22,"$10,101 ",108</t>
  </si>
  <si>
    <t>Kaine Padly,UK,Organic Choco Syrup,31-Mar-22,"$2,282 ",178</t>
  </si>
  <si>
    <t>Marney O'Breen,India,Caramel Stuffed Bars,16-Mar-22,"$4,361 ",81</t>
  </si>
  <si>
    <t>Karlen McCaffrey,UK,Eclairs,25-Jan-22,"$7,798 ",196</t>
  </si>
  <si>
    <t>Van Tuxwell,India,Baker's Choco Chips,20-Jun-22,"$3,052 ",447</t>
  </si>
  <si>
    <t>Gigi Bohling,UK,After Nines,29-Mar-22,"$8,029 ",175</t>
  </si>
  <si>
    <t>Curtice Advani,Australia,Orange Choco,12-Jul-22,$854 ,136</t>
  </si>
  <si>
    <t>Jehu Rudeforth,Canada,Smooth Sliky Salty,11-Jul-22,"$5,460 ",138</t>
  </si>
  <si>
    <t>Karlen McCaffrey,Canada,Smooth Sliky Salty,19-Jan-22,"$3,017 ",184</t>
  </si>
  <si>
    <t>Andria Kimpton,USA,85% Dark Bars,05-Apr-22,"$8,911 ",82</t>
  </si>
  <si>
    <t>Jehu Rudeforth,Canada,Milk Bars,21-Feb-22,"$7,203 ",12</t>
  </si>
  <si>
    <t>Rafaelita Blaksland,New Zealand,Caramel Stuffed Bars,20-May-22,"$13,083 ",14</t>
  </si>
  <si>
    <t>Mallorie Waber,Australia,Milk Bars,29-Jul-22,"$2,779 ",104</t>
  </si>
  <si>
    <t>Barr Faughny,USA,Fruit &amp; Nut Bars,28-Jan-22,"$9,058 ",46</t>
  </si>
  <si>
    <t>Marney O'Breen,UK,Caramel Stuffed Bars,19-Jul-22,"$3,549 ",112</t>
  </si>
  <si>
    <t>Mallorie Waber,New Zealand,Manuka Honey Choco,13-Apr-22,"$9,436 ",11</t>
  </si>
  <si>
    <t>Roddy Speechley,India,Peanut Butter Cubes,11-Feb-22,"$10,283 ",21</t>
  </si>
  <si>
    <t>Roddy Speechley,New Zealand,Milk Bars,02-Mar-22,"$5,446 ",116</t>
  </si>
  <si>
    <t>Ches Bonnell,Australia,White Choc,02-Mar-22,"$1,043 ",202</t>
  </si>
  <si>
    <t>Van Tuxwell,USA,99% Dark &amp; Pure,28-Jul-22,"$12,586 ",6</t>
  </si>
  <si>
    <t>Kelci Walkden,India,After Nines,07-Jan-22,"$1,687 ",520</t>
  </si>
  <si>
    <t>Brien Boise,UK,White Choc,12-Apr-22,"$5,299 ",167</t>
  </si>
  <si>
    <t>Van Tuxwell,Canada,Almond Choco,27-Jun-22,"$3,213 ",72</t>
  </si>
  <si>
    <t>Jehu Rudeforth,Australia,50% Dark Bites,14-Jan-22,"$5,194 ",418</t>
  </si>
  <si>
    <t>Karlen McCaffrey,UK,Baker's Choco Chips,07-Feb-22,"$4,753 ",389</t>
  </si>
  <si>
    <t>Jehu Rudeforth,Australia,Orange Choco,23-Mar-22,"$13,706 ",26</t>
  </si>
  <si>
    <t>Marney O'Breen,India,Peanut Butter Cubes,10-Jan-22,"$6,489 ",146</t>
  </si>
  <si>
    <t>Oby Sorrel,UK,Choco Coated Almonds,17-Mar-22,"$9,324 ",41</t>
  </si>
  <si>
    <t>Gigi Bohling,USA,Spicy Special Slims,21-Jan-22,"$10,829 ",54</t>
  </si>
  <si>
    <t>Barr Faughny,Australia,White Choc,04-Jul-22,"$8,113 ",370</t>
  </si>
  <si>
    <t>Kaine Padly,Canada,Peanut Butter Cubes,04-Jul-22,"$3,269 ",176</t>
  </si>
  <si>
    <t>Dotty Strutley,USA,Manuka Honey Choco,10-Aug-22,$273 ,210</t>
  </si>
  <si>
    <t>Dennison Crosswaite,Australia,50% Dark Bites,01-Apr-22,"$7,287 ",12</t>
  </si>
  <si>
    <t>Gigi Bohling,India,Raspberry Choco,22-Feb-22,"$2,583 ",159</t>
  </si>
  <si>
    <t>Camilla Castle,UK,White Choc,03-Jan-22,"$9,982 ",187</t>
  </si>
  <si>
    <t>Karlen McCaffrey,India,Drinking Coco,31-May-22,"$4,795 ",233</t>
  </si>
  <si>
    <t>Dotty Strutley,UK,99% Dark &amp; Pure,03-Jan-22,"$9,310 ",282</t>
  </si>
  <si>
    <t>Husein Augar,New Zealand,Caramel Stuffed Bars,27-Jan-22,$497 ,475</t>
  </si>
  <si>
    <t>Barr Faughny,UK,50% Dark Bites,28-Jan-22,$581 ,65</t>
  </si>
  <si>
    <t>Curtice Advani,Australia,Organic Choco Syrup,28-Jun-22,"$3,472 ",311</t>
  </si>
  <si>
    <t>Husein Augar,UK,Choco Coated Almonds,02-Mar-22,"$4,333 ",43</t>
  </si>
  <si>
    <t>Wilone O'Kielt,Australia,After Nines,27-May-22,"$3,325 ",26</t>
  </si>
  <si>
    <t>Dennison Crosswaite,USA,Almond Choco,30-Jun-22,"$11,718 ",84</t>
  </si>
  <si>
    <t>Barr Faughny,Canada,Peanut Butter Cubes,07-Jun-22,"$2,100 ",78</t>
  </si>
  <si>
    <t>Kaine Padly,USA,70% Dark Bites,12-May-22,"$4,018 ",100</t>
  </si>
  <si>
    <t>Barr Faughny,New Zealand,Raspberry Choco,29-Jul-22,"$6,468 ",66</t>
  </si>
  <si>
    <t>Dennison Crosswaite,UK,White Choc,03-Aug-22,"$7,238 ",265</t>
  </si>
  <si>
    <t>Barr Faughny,India,Baker's Choco Chips,18-Aug-22,"$6,454 ",141</t>
  </si>
  <si>
    <t>Van Tuxwell,New Zealand,Smooth Sliky Salty,14-Jun-22,"$3,115 ",42</t>
  </si>
  <si>
    <t>Beverie Moffet,UK,White Choc,30-Jun-22,"$6,475 ",76</t>
  </si>
  <si>
    <t>Camilla Castle,New Zealand,Mint Chip Choco,13-Jun-22,"$1,162 ",190</t>
  </si>
  <si>
    <t>Ches Bonnell,UK,Orange Choco,27-Apr-22,"$14,238 ",54</t>
  </si>
  <si>
    <t>Jan Morforth,Australia,White Choc,27-Jul-22,"$3,472 ",32</t>
  </si>
  <si>
    <t>Mallorie Waber,Canada,85% Dark Bars,20-Apr-22,"$1,428 ",424</t>
  </si>
  <si>
    <t>Rafaelita Blaksland,India,Spicy Special Slims,04-Jan-22,"$8,064 ",134</t>
  </si>
  <si>
    <t>Ches Bonnell,Australia,Mint Chip Choco,21-Feb-22,"$9,660 ",92</t>
  </si>
  <si>
    <t>Karlen McCaffrey,Australia,White Choc,05-Jan-22,"$7,357 ",48</t>
  </si>
  <si>
    <t>Beverie Moffet,India,Drinking Coco,15-Jul-22,"$6,055 ",46</t>
  </si>
  <si>
    <t>Brien Boise,Australia,Choco Coated Almonds,25-May-22,"$5,124 ",62</t>
  </si>
  <si>
    <t>Karlen McCaffrey,Canada,Eclairs,20-Apr-22,"$3,479 ",358</t>
  </si>
  <si>
    <t>Gigi Bohling,USA,99% Dark &amp; Pure,02-Jun-22,$784 ,249</t>
  </si>
  <si>
    <t>Marney O'Breen,UK,Smooth Sliky Salty,13-May-22,"$18,991 ",88</t>
  </si>
  <si>
    <t>Beverie Moffet,New Zealand,Baker's Choco Chips,03-Aug-22,"$1,372 ",144</t>
  </si>
  <si>
    <t>Beverie Moffet,Australia,Milk Bars,25-May-22,$735 ,390</t>
  </si>
  <si>
    <t>Van Tuxwell,UK,Raspberry Choco,16-Mar-22,"$6,538 ",79</t>
  </si>
  <si>
    <t>Jan Morforth,Australia,Orange Choco,04-Jul-22,"$3,199 ",122</t>
  </si>
  <si>
    <t>Jehu Rudeforth,India,50% Dark Bites,05-Jul-22,"$3,472 ",135</t>
  </si>
  <si>
    <t>Madelene Upcott,USA,After Nines,15-Mar-22,"$4,571 ",430</t>
  </si>
  <si>
    <t>Barr Faughny,UK,Raspberry Choco,22-Aug-22,"$5,481 ",69</t>
  </si>
  <si>
    <t>Ches Bonnell,Australia,70% Dark Bites,12-Jan-22,"$3,136 ",125</t>
  </si>
  <si>
    <t>Marney O'Breen,UK,Baker's Choco Chips,10-Jun-22,$252 ,154</t>
  </si>
  <si>
    <t>Kaine Padly,Australia,Peanut Butter Cubes,25-Mar-22,"$5,460 ",286</t>
  </si>
  <si>
    <t>Rafaelita Blaksland,India,Almond Choco,27-Jul-22,"$3,395 ",99</t>
  </si>
  <si>
    <t>Husein Augar,UK,Caramel Stuffed Bars,15-Apr-22,"$14,938 ",433</t>
  </si>
  <si>
    <t>Roddy Speechley,India,Orange Choco,27-Jun-22,"$4,053 ",19</t>
  </si>
  <si>
    <t>Jehu Rudeforth,UK,70% Dark Bites,14-Apr-22,"$5,565 ",258</t>
  </si>
  <si>
    <t>Husein Augar,Australia,Manuka Honey Choco,15-Mar-22,"$7,161 ",92</t>
  </si>
  <si>
    <t>Madelene Upcott,USA,Eclairs,18-Mar-22,"$8,883 ",200</t>
  </si>
  <si>
    <t>Brien Boise,India,Eclairs,29-Apr-22,"$1,351 ",61</t>
  </si>
  <si>
    <t>Mallorie Waber,New Zealand,White Choc,25-Feb-22,"$3,171 ",246</t>
  </si>
  <si>
    <t>Husein Augar,USA,Milk Bars,02-Mar-22,$854 ,56</t>
  </si>
  <si>
    <t>Van Tuxwell,Australia,Milk Bars,20-Jun-22,"$7,910 ",87</t>
  </si>
  <si>
    <t>Beverie Moffet,Canada,White Choc,15-Jul-22,"$9,275 ",173</t>
  </si>
  <si>
    <t>Dotty Strutley,Australia,50% Dark Bites,12-May-22,"$3,108 ",252</t>
  </si>
  <si>
    <t>Mallorie Waber,New Zealand,Organic Choco Syrup,01-Jul-22,"$5,075 ",256</t>
  </si>
  <si>
    <t>Husein Augar,USA,85% Dark Bars,08-Aug-22,$378 ,54</t>
  </si>
  <si>
    <t>Madelene Upcott,Australia,50% Dark Bites,25-Jul-22,"$7,350 ",6</t>
  </si>
  <si>
    <t>Wilone O'Kielt,UK,Drinking Coco,18-May-22,"$3,388 ",55</t>
  </si>
  <si>
    <t>Camilla Castle,India,Peanut Butter Cubes,15-Jul-22,"$11,837 ",277</t>
  </si>
  <si>
    <t>Curtice Advani,India,70% Dark Bites,05-Jul-22,"$2,282 ",44</t>
  </si>
  <si>
    <t>Mallorie Waber,USA,Manuka Honey Choco,04-Jul-22,"$5,425 ",96</t>
  </si>
  <si>
    <t>Dotty Strutley,UK,70% Dark Bites,20-Jun-22,"$1,267 ",216</t>
  </si>
  <si>
    <t>Gunar Cockshoot,Australia,Almond Choco,25-Jan-22,"$3,752 ",424</t>
  </si>
  <si>
    <t>Kaine Padly,New Zealand,Spicy Special Slims,01-Jul-22,"$7,728 ",37</t>
  </si>
  <si>
    <t>Gigi Bohling,USA,50% Dark Bites,13-Apr-22,"$2,296 ",59</t>
  </si>
  <si>
    <t>Beverie Moffet,UK,Smooth Sliky Salty,04-May-22,"$4,403 ",76</t>
  </si>
  <si>
    <t>Beverie Moffet,Australia,Baker's Choco Chips,04-Aug-22,"$3,192 ",109</t>
  </si>
  <si>
    <t>Beverie Moffet,India,70% Dark Bites,01-Jun-22,$448 ,146</t>
  </si>
  <si>
    <t>Jehu Rudeforth,UK,Choco Coated Almonds,22-Apr-22,"$4,270 ",185</t>
  </si>
  <si>
    <t>Kaine Padly,USA,50% Dark Bites,03-Aug-22,$70 ,27</t>
  </si>
  <si>
    <t>Ches Bonnell,USA,Orange Choco,10-Jun-22,"$1,743 ",69</t>
  </si>
  <si>
    <t>Gunar Cockshoot,UK,Manuka Honey Choco,27-Jun-22,"$6,762 ",46</t>
  </si>
  <si>
    <t>Marney O'Breen,Australia,Smooth Sliky Salty,03-Jan-22,"$3,745 ",170</t>
  </si>
  <si>
    <t>Marney O'Breen,India,After Nines,11-Jul-22,"$2,639 ",179</t>
  </si>
  <si>
    <t>Ches Bonnell,New Zealand,Milk Bars,17-Aug-22,"$4,389 ",126</t>
  </si>
  <si>
    <t>Rafaelita Blaksland,USA,Fruit &amp; Nut Bars,18-Jan-22,"$2,604 ",65</t>
  </si>
  <si>
    <t>Ches Bonnell,India,Organic Choco Syrup,08-Mar-22,"$16,569 ",99</t>
  </si>
  <si>
    <t>Mallorie Waber,Australia,Orange Choco,07-Mar-22,"$14,658 ",275</t>
  </si>
  <si>
    <t>Husein Augar,India,70% Dark Bites,09-May-22,"$6,454 ",157</t>
  </si>
  <si>
    <t>Barr Faughny,New Zealand,85% Dark Bars,23-May-22,"$2,100 ",157</t>
  </si>
  <si>
    <t>Madelene Upcott,UK,Caramel Stuffed Bars,15-Apr-22,$161 ,145</t>
  </si>
  <si>
    <t>Gigi Bohling,Australia,Drinking Coco,27-Jul-22,"$2,807 ",139</t>
  </si>
  <si>
    <t>Marney O'Breen,Canada,Choco Coated Almonds,22-Aug-22,"$2,639 ",406</t>
  </si>
  <si>
    <t>Ches Bonnell,USA,70% Dark Bites,11-May-22,"$4,571 ",122</t>
  </si>
  <si>
    <t>Madelene Upcott,India,Organic Choco Syrup,26-Jan-22,"$4,781 ",38</t>
  </si>
  <si>
    <t>Barr Faughny,USA,50% Dark Bites,14-Apr-22,"$13,034 ",117</t>
  </si>
  <si>
    <t>Dennison Crosswaite,New Zealand,Mint Chip Choco,05-Apr-22,"$6,454 ",417</t>
  </si>
  <si>
    <t>Marney O'Breen,New Zealand,Smooth Sliky Salty,14-Jun-22,"$8,484 ",57</t>
  </si>
  <si>
    <t>Brien Boise,Canada,Almond Choco,13-Apr-22,"$4,781 ",125</t>
  </si>
  <si>
    <t>Beverie Moffet,Australia,White Choc,27-Jun-22,"$2,240 ",166</t>
  </si>
  <si>
    <t>Dotty Strutley,Australia,Eclairs,26-Jan-22,"$6,979 ",3</t>
  </si>
  <si>
    <t>Barr Faughny,UK,White Choc,05-Jul-22,"$1,652 ",72</t>
  </si>
  <si>
    <t>Beverie Moffet,Canada,Baker's Choco Chips,11-Jan-22,"$13,447 ",95</t>
  </si>
  <si>
    <t>Kelci Walkden,USA,White Choc,07-Mar-22,"$9,422 ",22</t>
  </si>
  <si>
    <t>Kaine Padly,Canada,50% Dark Bites,04-Mar-22,"$8,687 ",100</t>
  </si>
  <si>
    <t>Karlen McCaffrey,Canada,Organic Choco Syrup,15-Jul-22,"$2,415 ",312</t>
  </si>
  <si>
    <t>Kaine Padly,UK,Peanut Butter Cubes,11-May-22,"$6,272 ",86</t>
  </si>
  <si>
    <t>Karlen McCaffrey,USA,Milk Bars,27-Jan-22,"$4,389 ",7</t>
  </si>
  <si>
    <t>Karlen McCaffrey,India,Orange Choco,27-Jun-22,"$3,122 ",149</t>
  </si>
  <si>
    <t>Ches Bonnell,India,Smooth Sliky Salty,03-Aug-22,"$8,043 ",18</t>
  </si>
  <si>
    <t>Wilone O'Kielt,New Zealand,Mint Chip Choco,19-Aug-22,"$11,662 ",242</t>
  </si>
  <si>
    <t>Wilone O'Kielt,Australia,Fruit &amp; Nut Bars,15-Jun-22,$392 ,102</t>
  </si>
  <si>
    <t>Dennison Crosswaite,UK,Peanut Butter Cubes,07-Feb-22,"$8,925 ",158</t>
  </si>
  <si>
    <t>Karlen McCaffrey,Australia,Almond Choco,08-Jul-22,"$7,294 ",128</t>
  </si>
  <si>
    <t>Dennison Crosswaite,India,Milk Bars,21-Apr-22,"$1,526 ",96</t>
  </si>
  <si>
    <t>Ches Bonnell,UK,Mint Chip Choco,08-Apr-22,"$2,688 ",209</t>
  </si>
  <si>
    <t>Husein Augar,Australia,50% Dark Bites,19-Aug-22,"$14,889 ",52</t>
  </si>
  <si>
    <t>Jan Morforth,India,Fruit &amp; Nut Bars,04-May-22,"$2,912 ",55</t>
  </si>
  <si>
    <t>Mallorie Waber,USA,85% Dark Bars,11-May-22,"$2,632 ",108</t>
  </si>
  <si>
    <t>Mallorie Waber,USA,Eclairs,22-Mar-22,"$6,328 ",51</t>
  </si>
  <si>
    <t>Dennison Crosswaite,Canada,Spicy Special Slims,10-Aug-22,"$2,527 ",216</t>
  </si>
  <si>
    <t>Dennison Crosswaite,USA,Fruit &amp; Nut Bars,04-May-22,"$1,414 ",318</t>
  </si>
  <si>
    <t>Kelci Walkden,USA,99% Dark &amp; Pure,18-Aug-22,"$7,714 ",238</t>
  </si>
  <si>
    <t>Dotty Strutley,Canada,Raspberry Choco,03-Aug-22,"$4,347 ",238</t>
  </si>
  <si>
    <t>Marney O'Breen,New Zealand,Milk Bars,14-Jan-22,"$7,490 ",315</t>
  </si>
  <si>
    <t>Madelene Upcott,Australia,Choco Coated Almonds,08-Apr-22,"$2,058 ",72</t>
  </si>
  <si>
    <t>Kelci Walkden,UK,Orange Choco,01-Aug-22,"$3,640 ",3</t>
  </si>
  <si>
    <t>Dennison Crosswaite,Canada,Eclairs,15-Mar-22,$455 ,45</t>
  </si>
  <si>
    <t>Karlen McCaffrey,India,Mint Chip Choco,15-Jul-22,"$10,990 ",184</t>
  </si>
  <si>
    <t>Barr Faughny,New Zealand,Almond Choco,13-Jan-22,"$5,558 ",127</t>
  </si>
  <si>
    <t>Mallorie Waber,Australia,85% Dark Bars,26-Aug-22,"$2,541 ",53</t>
  </si>
  <si>
    <t>Ches Bonnell,Canada,Eclairs,10-Jan-22,"$1,876 ",172</t>
  </si>
  <si>
    <t>Gigi Bohling,Australia,White Choc,11-May-22,"$5,523 ",87</t>
  </si>
  <si>
    <t>Beverie Moffet,New Zealand,85% Dark Bars,30-Aug-22,"$11,200 ",22</t>
  </si>
  <si>
    <t>Kaine Padly,USA,Caramel Stuffed Bars,21-Jul-22,"$5,593 ",122</t>
  </si>
  <si>
    <t>Mallorie Waber,Australia,Almond Choco,01-Aug-22,"$7,882 ",125</t>
  </si>
  <si>
    <t>Brien Boise,Canada,85% Dark Bars,17-Feb-22,"$10,241 ",259</t>
  </si>
  <si>
    <t>Brien Boise,Australia,Drinking Coco,27-Jul-22,"$6,832 ",156</t>
  </si>
  <si>
    <t>Dotty Strutley,USA,Orange Choco,23-Feb-22,"$1,379 ",107</t>
  </si>
  <si>
    <t>Rafaelita Blaksland,Australia,50% Dark Bites,22-Mar-22,"$3,010 ",40</t>
  </si>
  <si>
    <t>Dennison Crosswaite,India,99% Dark &amp; Pure,23-Jun-22,"$6,888 ",311</t>
  </si>
  <si>
    <t>Curtice Advani,UK,White Choc,01-Feb-22,"$1,540 ",73</t>
  </si>
  <si>
    <t>Kelci Walkden,Australia,After Nines,02-Mar-22,"$6,916 ",288</t>
  </si>
  <si>
    <t>Gigi Bohling,UK,Fruit &amp; Nut Bars,06-Apr-22,"$1,232 ",86</t>
  </si>
  <si>
    <t>Gunar Cockshoot,Australia,Raspberry Choco,17-Mar-22,$602 ,72</t>
  </si>
  <si>
    <t>Curtice Advani,UK,Fruit &amp; Nut Bars,24-Jun-22,"$10,927 ",136</t>
  </si>
  <si>
    <t>Barr Faughny,Canada,50% Dark Bites,19-Jul-22,"$10,185 ",303</t>
  </si>
  <si>
    <t>Curtice Advani,USA,Spicy Special Slims,11-Jul-22,"$1,603 ",264</t>
  </si>
  <si>
    <t>Brien Boise,India,Almond Choco,13-Jan-22,"$2,170 ",218</t>
  </si>
  <si>
    <t>Oby Sorrel,New Zealand,Smooth Sliky Salty,07-Jul-22,"$8,673 ",60</t>
  </si>
  <si>
    <t>Jan Morforth,India,85% Dark Bars,25-May-22,"$4,760 ",418</t>
  </si>
  <si>
    <t>Marney O'Breen,India,Fruit &amp; Nut Bars,13-Apr-22,"$4,753 ",151</t>
  </si>
  <si>
    <t>Andria Kimpton,New Zealand,50% Dark Bites,02-Mar-22,"$3,374 ",202</t>
  </si>
  <si>
    <t>Gunar Cockshoot,Canada,Raspberry Choco,23-Jun-22,"$2,058 ",126</t>
  </si>
  <si>
    <t>Kelci Walkden,USA,Drinking Coco,26-Jul-22,"$6,454 ",160</t>
  </si>
  <si>
    <t>Van Tuxwell,Canada,White Choc,22-Mar-22,$420 ,3</t>
  </si>
  <si>
    <t>Rafaelita Blaksland,USA,Baker's Choco Chips,09-Jun-22,"$2,863 ",58</t>
  </si>
  <si>
    <t>Van Tuxwell,Australia,Caramel Stuffed Bars,17-May-22,"$5,936 ",59</t>
  </si>
  <si>
    <t>Ches Bonnell,New Zealand,Peanut Butter Cubes,04-Mar-22,$889 ,273</t>
  </si>
  <si>
    <t>Kelci Walkden,Canada,Milk Bars,07-Jul-22,"$16,016 ",28</t>
  </si>
  <si>
    <t>Dennison Crosswaite,Canada,Choco Coated Almonds,13-Jan-22,"$10,479 ",118</t>
  </si>
  <si>
    <t>Curtice Advani,Australia,Almond Choco,13-Jul-22,"$2,912 ",75</t>
  </si>
  <si>
    <t>Madelene Upcott,Australia,85% Dark Bars,16-Jun-22,"$1,575 ",329</t>
  </si>
  <si>
    <t>Gigi Bohling,UK,50% Dark Bites,18-Jul-22,"$8,197 ",69</t>
  </si>
  <si>
    <t>Ches Bonnell,UK,Manuka Honey Choco,30-May-22,"$4,221 ",395</t>
  </si>
  <si>
    <t>Gigi Bohling,UK,70% Dark Bites,21-Jun-22,$840 ,81</t>
  </si>
  <si>
    <t>Jehu Rudeforth,Australia,Peanut Butter Cubes,24-Jun-22,"$5,691 ",38</t>
  </si>
  <si>
    <t>Marney O'Breen,India,Eclairs,13-Jan-22,"$3,472 ",96</t>
  </si>
  <si>
    <t>Curtice Advani,Canada,Fruit &amp; Nut Bars,04-Apr-22,"$4,193 ",195</t>
  </si>
  <si>
    <t>Kaine Padly,UK,Smooth Sliky Salty,08-Jun-22,"$9,016 ",554</t>
  </si>
  <si>
    <t>Karlen McCaffrey,Canada,Spicy Special Slims,02-Aug-22,"$6,328 ",47</t>
  </si>
  <si>
    <t>Kelci Walkden,USA,Organic Choco Syrup,21-Jul-22,"$9,870 ",152</t>
  </si>
  <si>
    <t>Curtice Advani,India,Spicy Special Slims,20-Jun-22,$161 ,134</t>
  </si>
  <si>
    <t>Roddy Speechley,India,After Nines,22-Jun-22,"$2,576 ",112</t>
  </si>
  <si>
    <t>Camilla Castle,Australia,Caramel Stuffed Bars,02-May-22,"$3,178 ",16</t>
  </si>
  <si>
    <t>Curtice Advani,Australia,99% Dark &amp; Pure,07-Jan-22,"$4,676 ",84</t>
  </si>
  <si>
    <t>Mallorie Waber,UK,50% Dark Bites,21-Feb-22,"$5,502 ",99</t>
  </si>
  <si>
    <t>Ches Bonnell,Canada,Baker's Choco Chips,21-Mar-22,"$7,462 ",371</t>
  </si>
  <si>
    <t>Van Tuxwell,UK,Drinking Coco,04-Apr-22,"$5,803 ",136</t>
  </si>
  <si>
    <t>Gunar Cockshoot,Canada,Fruit &amp; Nut Bars,24-Mar-22,"$13,888 ",203</t>
  </si>
  <si>
    <t>Gunar Cockshoot,New Zealand,Spicy Special Slims,28-Jun-22,"$6,867 ",183</t>
  </si>
  <si>
    <t>Gunar Cockshoot,Australia,Drinking Coco,14-Jan-22,"$2,317 ",195</t>
  </si>
  <si>
    <t>Karlen McCaffrey,New Zealand,Fruit &amp; Nut Bars,07-Feb-22,"$1,218 ",135</t>
  </si>
  <si>
    <t>Dennison Crosswaite,New Zealand,Drinking Coco,11-Jan-22,"$4,109 ",197</t>
  </si>
  <si>
    <t>Jehu Rudeforth,India,99% Dark &amp; Pure,25-Feb-22,"$1,953 ",242</t>
  </si>
  <si>
    <t>Dotty Strutley,Australia,Mint Chip Choco,01-Aug-22,"$6,790 ",25</t>
  </si>
  <si>
    <t>Roddy Speechley,Australia,Mint Chip Choco,05-May-22,"$6,797 ",252</t>
  </si>
  <si>
    <t>Madelene Upcott,New Zealand,Raspberry Choco,18-May-22,"$9,226 ",415</t>
  </si>
  <si>
    <t>Dotty Strutley,New Zealand,Choco Coated Almonds,04-Jan-22,"$5,733 ",348</t>
  </si>
  <si>
    <t>Roddy Speechley,New Zealand,50% Dark Bites,09-May-22,"$4,312 ",211</t>
  </si>
  <si>
    <t>Rafaelita Blaksland,India,Smooth Sliky Salty,06-May-22,"$1,638 ",81</t>
  </si>
  <si>
    <t>Husein Augar,UK,White Choc,13-Jan-22,"$10,815 ",145</t>
  </si>
  <si>
    <t>Roddy Speechley,Australia,Almond Choco,24-Jun-22,"$4,466 ",74</t>
  </si>
  <si>
    <t>Van Tuxwell,USA,Caramel Stuffed Bars,14-Feb-22,$987 ,21</t>
  </si>
  <si>
    <t>Camilla Castle,Australia,99% Dark &amp; Pure,18-Jan-22,"$4,669 ",101</t>
  </si>
  <si>
    <t>Kaine Padly,India,Milk Bars,02-May-22,"$2,905 ",91</t>
  </si>
  <si>
    <t>Ches Bonnell,Australia,Smooth Sliky Salty,16-May-22,"$7,490 ",54</t>
  </si>
  <si>
    <t>Mallorie Waber,USA,Almond Choco,28-Jan-22,"$6,986 ",368</t>
  </si>
  <si>
    <t>Kaine Padly,Canada,99% Dark &amp; Pure,24-Jun-22,"$1,288 ",409</t>
  </si>
  <si>
    <t>Oby Sorrel,UK,After Nines,18-Jul-22,"$2,345 ",104</t>
  </si>
  <si>
    <t>Gunar Cockshoot,UK,Eclairs,13-Apr-22,"$3,619 ",164</t>
  </si>
  <si>
    <t>Dotty Strutley,USA,Caramel Stuffed Bars,15-Apr-22,"$16,982 ",76</t>
  </si>
  <si>
    <t>Jan Morforth,India,Peanut Butter Cubes,04-Jan-22,"$8,092 ",178</t>
  </si>
  <si>
    <t>Husein Augar,Australia,Eclairs,04-Jul-22,"$6,993 ",31</t>
  </si>
  <si>
    <t>Beverie Moffet,USA,Smooth Sliky Salty,24-Mar-22,"$2,317 ",352</t>
  </si>
  <si>
    <t>Camilla Castle,Australia,Manuka Honey Choco,17-Mar-22,$637 ,169</t>
  </si>
  <si>
    <t>Oby Sorrel,Australia,Almond Choco,15-Feb-22,"$6,034 ",223</t>
  </si>
  <si>
    <t>Jan Morforth,USA,Orange Choco,29-Jun-22,$980 ,146</t>
  </si>
  <si>
    <t>Gigi Bohling,USA,Fruit &amp; Nut Bars,24-May-22,"$2,821 ",112</t>
  </si>
  <si>
    <t>Mallorie Waber,UK,Milk Bars,10-Jan-22,"$3,563 ",284</t>
  </si>
  <si>
    <t>Curtice Advani,USA,Raspberry Choco,15-Mar-22,"$2,996 ",139</t>
  </si>
  <si>
    <t>Marney O'Breen,Canada,Milk Bars,08-Feb-22,"$2,436 ",309</t>
  </si>
  <si>
    <t>Brien Boise,India,Caramel Stuffed Bars,25-Feb-22,"$1,540 ",100</t>
  </si>
  <si>
    <t>Gunar Cockshoot,USA,Eclairs,03-May-22,"$6,916 ",42</t>
  </si>
  <si>
    <t>Roddy Speechley,USA,Fruit &amp; Nut Bars,14-Jun-22,"$5,509 ",24</t>
  </si>
  <si>
    <t>Gunar Cockshoot,India,50% Dark Bites,09-Aug-22,"$12,992 ",83</t>
  </si>
  <si>
    <t>Wilone O'Kielt,New Zealand,Manuka Honey Choco,11-Jul-22,"$3,724 ",234</t>
  </si>
  <si>
    <t>Kaine Padly,UK,Manuka Honey Choco,14-Jan-22,"$7,133 ",118</t>
  </si>
  <si>
    <t>Van Tuxwell,Canada,Manuka Honey Choco,24-Feb-22,"$8,617 ",46</t>
  </si>
  <si>
    <t>Wilone O'Kielt,New Zealand,Almond Choco,15-Mar-22,"$9,198 ",144</t>
  </si>
  <si>
    <t>Oby Sorrel,New Zealand,Baker's Choco Chips,25-Apr-22,"$11,823 ",47</t>
  </si>
  <si>
    <t>Dennison Crosswaite,Australia,Organic Choco Syrup,10-May-22,"$5,775 ",41</t>
  </si>
  <si>
    <t>Marney O'Breen,Australia,Spicy Special Slims,23-Jun-22,"$13,125 ",275</t>
  </si>
  <si>
    <t>Beverie Moffet,Canada,Smooth Sliky Salty,28-Feb-22,"$14,287 ",370</t>
  </si>
  <si>
    <t>Brien Boise,USA,Organic Choco Syrup,25-May-22,"$16,233 ",138</t>
  </si>
  <si>
    <t>Roddy Speechley,New Zealand,Baker's Choco Chips,22-Feb-22,"$5,313 ",215</t>
  </si>
  <si>
    <t>Van Tuxwell,UK,85% Dark Bars,11-Jul-22,"$3,577 ",134</t>
  </si>
  <si>
    <t>Marney O'Breen,Canada,Spicy Special Slims,03-Jan-22,"$3,528 ",336</t>
  </si>
  <si>
    <t>Rafaelita Blaksland,New Zealand,70% Dark Bites,24-Aug-22,$679 ,280</t>
  </si>
  <si>
    <t>Beverie Moffet,USA,50% Dark Bites,28-Jul-22,"$2,450 ",352</t>
  </si>
  <si>
    <t>Brien Boise,USA,Mint Chip Choco,25-May-22,"$10,577 ",150</t>
  </si>
  <si>
    <t>Karlen McCaffrey,New Zealand,Eclairs,06-May-22,"$2,597 ",177</t>
  </si>
  <si>
    <t>Barr Faughny,India,Drinking Coco,28-Jan-22,"$2,219 ",142</t>
  </si>
  <si>
    <t>Marney O'Breen,UK,Orange Choco,06-Jun-22,"$11,319 ",12</t>
  </si>
  <si>
    <t>Brien Boise,New Zealand,Baker's Choco Chips,12-Jul-22,"$5,978 ",24</t>
  </si>
  <si>
    <t>Ches Bonnell,Canada,Spicy Special Slims,05-Aug-22,"$5,327 ",183</t>
  </si>
  <si>
    <t>Brien Boise,USA,Orange Choco,28-Jan-22,"$6,020 ",147</t>
  </si>
  <si>
    <t>Kaine Padly,India,Spicy Special Slims,31-Aug-22,"$5,614 ",137</t>
  </si>
  <si>
    <t>Mallorie Waber,USA,50% Dark Bites,19-Apr-22,"$1,736 ",13</t>
  </si>
  <si>
    <t>Mallorie Waber,UK,Mint Chip Choco,29-Jun-22,"$6,384 ",2</t>
  </si>
  <si>
    <t>Beverie Moffet,India,Choco Coated Almonds,24-Feb-22,"$3,577 ",261</t>
  </si>
  <si>
    <t>Madelene Upcott,UK,Smooth Sliky Salty,04-Mar-22,"$14,539 ",84</t>
  </si>
  <si>
    <t>Gigi Bohling,India,Eclairs,21-Jun-22,"$3,493 ",68</t>
  </si>
  <si>
    <t>Rafaelita Blaksland,Australia,Organic Choco Syrup,26-Jan-22,$994 ,105</t>
  </si>
  <si>
    <t>Oby Sorrel,New Zealand,White Choc,10-Jun-22,"$4,361 ",40</t>
  </si>
  <si>
    <t>Andria Kimpton,UK,Drinking Coco,23-May-22,"$1,554 ",65</t>
  </si>
  <si>
    <t>Kelci Walkden,India,Milk Bars,15-Apr-22,$966 ,107</t>
  </si>
  <si>
    <t>Karlen McCaffrey,New Zealand,Caramel Stuffed Bars,31-Jan-22,"$5,334 ",227</t>
  </si>
  <si>
    <t>Andria Kimpton,New Zealand,Organic Choco Syrup,04-Mar-22,"$4,935 ",39</t>
  </si>
  <si>
    <t>Barr Faughny,New Zealand,After Nines,19-Apr-22,"$10,024 ",84</t>
  </si>
  <si>
    <t>Beverie Moffet,UK,Almond Choco,16-May-22,"$2,506 ",100</t>
  </si>
  <si>
    <t>Oby Sorrel,Australia,Raspberry Choco,17-Feb-22,"$1,043 ",120</t>
  </si>
  <si>
    <t>Dennison Crosswaite,USA,Raspberry Choco,18-Jan-22,"$6,524 ",257</t>
  </si>
  <si>
    <t>Roddy Speechley,Canada,Orange Choco,09-Feb-22,"$8,148 ",85</t>
  </si>
  <si>
    <t>Mallorie Waber,Canada,Orange Choco,23-Mar-22,"$3,577 ",178</t>
  </si>
  <si>
    <t>Madelene Upcott,New Zealand,Caramel Stuffed Bars,01-Feb-22,"$3,374 ",151</t>
  </si>
  <si>
    <t>Mallorie Waber,India,Drinking Coco,07-Mar-22,"$3,948 ",142</t>
  </si>
  <si>
    <t>Ches Bonnell,UK,White Choc,03-Jan-22,"$3,269 ",226</t>
  </si>
  <si>
    <t>Ches Bonnell,USA,White Choc,11-Feb-22,"$5,271 ",341</t>
  </si>
  <si>
    <t>Dennison Crosswaite,New Zealand,Orange Choco,16-Mar-22,"$4,571 ",140</t>
  </si>
  <si>
    <t>Dotty Strutley,India,White Choc,15-Aug-22,"$12,327 ",330</t>
  </si>
  <si>
    <t>Gigi Bohling,India,Manuka Honey Choco,12-May-22,"$4,935 ",73</t>
  </si>
  <si>
    <t>Van Tuxwell,India,Spicy Special Slims,11-Apr-22,"$6,167 ",4</t>
  </si>
  <si>
    <t>Jan Morforth,New Zealand,Mint Chip Choco,30-Jun-22,"$18,340 ",285</t>
  </si>
  <si>
    <t>Dotty Strutley,New Zealand,White Choc,15-Jun-22,"$7,014 ",60</t>
  </si>
  <si>
    <t>Rafaelita Blaksland,Canada,Caramel Stuffed Bars,01-Aug-22,"$7,119 ",101</t>
  </si>
  <si>
    <t>Kaine Padly,USA,Milk Bars,15-Jun-22,"$15,491 ",58</t>
  </si>
  <si>
    <t>Brien Boise,India,After Nines,16-Jun-22,"$5,747 ",45</t>
  </si>
  <si>
    <t>Oby Sorrel,New Zealand,Raspberry Choco,13-May-22,"$4,550 ",281</t>
  </si>
  <si>
    <t>Dennison Crosswaite,USA,Drinking Coco,10-May-22,"$2,191 ",138</t>
  </si>
  <si>
    <t>Oby Sorrel,India,Eclairs,25-Aug-22,"$5,663 ",322</t>
  </si>
  <si>
    <t>Ches Bonnell,New Zealand,Organic Choco Syrup,15-Jul-22,"$7,623 ",85</t>
  </si>
  <si>
    <t>Gigi Bohling,UK,Baker's Choco Chips,16-May-22,"$9,023 ",409</t>
  </si>
  <si>
    <t>Jan Morforth,Australia,50% Dark Bites,14-Jun-22,"$3,402 ",182</t>
  </si>
  <si>
    <t>Beverie Moffet,Australia,Smooth Sliky Salty,25-Jan-22,"$10,507 ",467</t>
  </si>
  <si>
    <t>Ches Bonnell,USA,Organic Choco Syrup,28-Jul-22,"$7,721 ",14</t>
  </si>
  <si>
    <t>Brien Boise,Canada,Mint Chip Choco,28-Jan-22,"$5,033 ",178</t>
  </si>
  <si>
    <t>Kaine Padly,UK,Orange Choco,29-Jun-22,"$1,960 ",191</t>
  </si>
  <si>
    <t>Karlen McCaffrey,Australia,70% Dark Bites,24-Jun-22,$238 ,317</t>
  </si>
  <si>
    <t>Gunar Cockshoot,Canada,Mint Chip Choco,01-Jul-22,"$7,756 ",410</t>
  </si>
  <si>
    <t>Roddy Speechley,USA,Peanut Butter Cubes,25-Feb-22,"$1,736 ",137</t>
  </si>
  <si>
    <t>Curtice Advani,Canada,Smooth Sliky Salty,01-Aug-22,"$2,660 ",12</t>
  </si>
  <si>
    <t>Oby Sorrel,Australia,Milk Bars,21-Jun-22,"$7,672 ",254</t>
  </si>
  <si>
    <t>Camilla Castle,New Zealand,Spicy Special Slims,25-Jan-22,"$11,564 ",24</t>
  </si>
  <si>
    <t>Gigi Bohling,UK,Milk Bars,17-May-22,"$1,365 ",232</t>
  </si>
  <si>
    <t>Andria Kimpton,Australia,85% Dark Bars,23-Aug-22,"$4,186 ",233</t>
  </si>
  <si>
    <t>Camilla Castle,Australia,Smooth Sliky Salty,03-Mar-22,"$7,406 ",118</t>
  </si>
  <si>
    <t>Roddy Speechley,India,Caramel Stuffed Bars,30-May-22,"$8,911 ",543</t>
  </si>
  <si>
    <t>Karlen McCaffrey,USA,Drinking Coco,29-Jun-22,$112 ,223</t>
  </si>
  <si>
    <t>Andria Kimpton,Canada,Organic Choco Syrup,04-Jan-22,"$8,204 ",204</t>
  </si>
  <si>
    <t>Jehu Rudeforth,Australia,Drinking Coco,14-Jan-22,"$2,611 ",65</t>
  </si>
  <si>
    <t>Karlen McCaffrey,USA,Mint Chip Choco,15-Feb-22,"$15,652 ",53</t>
  </si>
  <si>
    <t>Curtice Advani,New Zealand,Spicy Special Slims,10-Jan-22,"$4,074 ",469</t>
  </si>
  <si>
    <t>Madelene Upcott,USA,White Choc,04-May-22,"$12,250 ",213</t>
  </si>
  <si>
    <t>Andria Kimpton,USA,Spicy Special Slims,23-May-22,"$2,366 ",5</t>
  </si>
  <si>
    <t>Barr Faughny,New Zealand,Fruit &amp; Nut Bars,26-Apr-22,"$1,687 ",147</t>
  </si>
  <si>
    <t>Oby Sorrel,Canada,Organic Choco Syrup,05-Jul-22,"$1,232 ",74</t>
  </si>
  <si>
    <t>Madelene Upcott,UK,Organic Choco Syrup,21-Jul-22,"$6,965 ",163</t>
  </si>
  <si>
    <t>Dotty Strutley,USA,Mint Chip Choco,21-Feb-22,"$5,292 ",248</t>
  </si>
  <si>
    <t>Kelci Walkden,USA,Orange Choco,03-Feb-22,"$1,379 ",138</t>
  </si>
  <si>
    <t>Gigi Bohling,Australia,Caramel Stuffed Bars,08-Jul-22,"$8,001 ",151</t>
  </si>
  <si>
    <t>Mallorie Waber,India,50% Dark Bites,31-May-22,$588 ,139</t>
  </si>
  <si>
    <t>Van Tuxwell,New Zealand,Mint Chip Choco,27-Jun-22,"$4,046 ",103</t>
  </si>
  <si>
    <t>Van Tuxwell,India,50% Dark Bites,13-May-22,"$5,103 ",129</t>
  </si>
  <si>
    <t>Van Tuxwell,USA,Manuka Honey Choco,31-May-22,"$2,317 ",102</t>
  </si>
  <si>
    <t>Wilone O'Kielt,USA,Orange Choco,28-Feb-22,"$7,042 ",37</t>
  </si>
  <si>
    <t>Barr Faughny,New Zealand,Eclairs,28-Mar-22,"$6,713 ",31</t>
  </si>
  <si>
    <t>Gigi Bohling,USA,After Nines,14-Jan-22,"$1,848 ",227</t>
  </si>
  <si>
    <t>Barr Faughny,New Zealand,Mint Chip Choco,21-Feb-22,"$6,440 ",145</t>
  </si>
  <si>
    <t>Dennison Crosswaite,Canada,85% Dark Bars,01-Aug-22,"$10,885 ",90</t>
  </si>
  <si>
    <t>Beverie Moffet,New Zealand,Smooth Sliky Salty,19-May-22,"$2,387 ",59</t>
  </si>
  <si>
    <t>Husein Augar,USA,White Choc,13-Jul-22,"$2,030 ",60</t>
  </si>
  <si>
    <t>Andria Kimpton,Australia,Peanut Butter Cubes,20-Apr-22,"$6,678 ",148</t>
  </si>
  <si>
    <t>Dennison Crosswaite,India,85% Dark Bars,30-Jun-22,"$4,515 ",22</t>
  </si>
  <si>
    <t>Curtice Advani,UK,50% Dark Bites,08-Mar-22,"$3,374 ",142</t>
  </si>
  <si>
    <t>Gunar Cockshoot,USA,Fruit &amp; Nut Bars,09-Mar-22,"$5,852 ",93</t>
  </si>
  <si>
    <t>Oby Sorrel,Canada,Raspberry Choco,16-Jun-22,"$1,750 ",208</t>
  </si>
  <si>
    <t>Gigi Bohling,UK,Drinking Coco,30-Jun-22,"$5,782 ",42</t>
  </si>
  <si>
    <t>Kelci Walkden,India,Mint Chip Choco,28-Jul-22,"$2,870 ",120</t>
  </si>
  <si>
    <t>Karlen McCaffrey,Canada,Peanut Butter Cubes,12-Aug-22,"$3,094 ",159</t>
  </si>
  <si>
    <t>Barr Faughny,UK,Mint Chip Choco,07-Jul-22,"$3,724 ",316</t>
  </si>
  <si>
    <t>Barr Faughny,USA,85% Dark Bars,25-Aug-22,"$12,761 ",47</t>
  </si>
  <si>
    <t>Husein Augar,Canada,Eclairs,17-Jan-22,"$3,696 ",233</t>
  </si>
  <si>
    <t>Jan Morforth,Australia,70% Dark Bites,04-Mar-22,"$5,222 ",384</t>
  </si>
  <si>
    <t>Marney O'Breen,New Zealand,Fruit &amp; Nut Bars,25-Aug-22,"$8,939 ",4</t>
  </si>
  <si>
    <t>Ches Bonnell,UK,Peanut Butter Cubes,15-Apr-22,"$2,156 ",260</t>
  </si>
  <si>
    <t>Kaine Padly,USA,Organic Choco Syrup,11-Mar-22,"$2,380 ",22</t>
  </si>
  <si>
    <t>Camilla Castle,USA,Raspberry Choco,20-May-22,"$3,339 ",18</t>
  </si>
  <si>
    <t>Brien Boise,New Zealand,Manuka Honey Choco,14-Jun-22,"$14,980 ",42</t>
  </si>
  <si>
    <t>Jehu Rudeforth,New Zealand,After Nines,14-Apr-22,"$1,512 ",73</t>
  </si>
  <si>
    <t>Jehu Rudeforth,USA,Smooth Sliky Salty,07-Jul-22,"$6,657 ",154</t>
  </si>
  <si>
    <t>Madelene Upcott,India,Mint Chip Choco,24-Aug-22,"$3,836 ",71</t>
  </si>
  <si>
    <t>Jehu Rudeforth,India,Eclairs,24-Feb-22,"$8,771 ",127</t>
  </si>
  <si>
    <t>Karlen McCaffrey,Canada,Raspberry Choco,09-May-22,$651 ,224</t>
  </si>
  <si>
    <t>Kaine Padly,Australia,70% Dark Bites,08-Feb-22,"$6,706 ",223</t>
  </si>
  <si>
    <t>Roddy Speechley,UK,70% Dark Bites,24-Mar-22,"$1,421 ",284</t>
  </si>
  <si>
    <t>Rafaelita Blaksland,USA,Drinking Coco,20-Jun-22,"$8,526 ",73</t>
  </si>
  <si>
    <t>Mallorie Waber,Canada,Manuka Honey Choco,07-Mar-22,"$1,435 ",112</t>
  </si>
  <si>
    <t>Kaine Padly,Australia,Fruit &amp; Nut Bars,20-Jun-22,"$7,434 ",85</t>
  </si>
  <si>
    <t>Oby Sorrel,New Zealand,Organic Choco Syrup,17-Feb-22,"$15,316 ",270</t>
  </si>
  <si>
    <t>Madelene Upcott,UK,99% Dark &amp; Pure,26-Jan-22,"$10,479 ",45</t>
  </si>
  <si>
    <t>Madelene Upcott,Australia,Mint Chip Choco,02-May-22,"$2,751 ",153</t>
  </si>
  <si>
    <t>Curtice Advani,Canada,99% Dark &amp; Pure,07-Jul-22,"$12,586 ",7</t>
  </si>
  <si>
    <t>Rafaelita Blaksland,Australia,Baker's Choco Chips,22-Aug-22,"$2,786 ",51</t>
  </si>
  <si>
    <t>Karlen McCaffrey,Australia,After Nines,11-Aug-22,"$2,303 ",67</t>
  </si>
  <si>
    <t>Marney O'Breen,UK,99% Dark &amp; Pure,13-Jan-22,"$8,113 ",194</t>
  </si>
  <si>
    <t>Gunar Cockshoot,Australia,50% Dark Bites,02-Mar-22,"$12,271 ",116</t>
  </si>
  <si>
    <t>Marney O'Breen,Australia,Choco Coated Almonds,27-Jul-22,"$11,298 ",41</t>
  </si>
  <si>
    <t>Kelci Walkden,New Zealand,Drinking Coco,10-Mar-22,"$15,855 ",111</t>
  </si>
  <si>
    <t>Beverie Moffet,USA,85% Dark Bars,23-Aug-22,"$12,404 ",334</t>
  </si>
  <si>
    <t>Roddy Speechley,USA,Eclairs,25-Apr-22,"$3,990 ",155</t>
  </si>
  <si>
    <t>Dennison Crosswaite,UK,Milk Bars,07-Mar-22,"$10,808 ",407</t>
  </si>
  <si>
    <t>Wilone O'Kielt,UK,Organic Choco Syrup,12-Jul-22,"$4,858 ",52</t>
  </si>
  <si>
    <t>Madelene Upcott,USA,Orange Choco,16-May-22,"$7,742 ",138</t>
  </si>
  <si>
    <t>Gunar Cockshoot,India,Smooth Sliky Salty,02-Mar-22,"$3,752 ",70</t>
  </si>
  <si>
    <t>Marney O'Breen,New Zealand,85% Dark Bars,30-May-22,"$1,218 ",149</t>
  </si>
  <si>
    <t>Marney O'Breen,UK,Manuka Honey Choco,10-Jun-22,"$10,983 ",179</t>
  </si>
  <si>
    <t>Brien Boise,USA,99% Dark &amp; Pure,25-Jul-22,"$6,769 ",353</t>
  </si>
  <si>
    <t>Beverie Moffet,New Zealand,Mint Chip Choco,09-Jun-22,"$4,361 ",97</t>
  </si>
  <si>
    <t>Dennison Crosswaite,USA,Milk Bars,12-May-22,$777 ,60</t>
  </si>
  <si>
    <t>Gunar Cockshoot,USA,Drinking Coco,09-May-22,"$3,843 ",5</t>
  </si>
  <si>
    <t>Brien Boise,Canada,Manuka Honey Choco,09-Aug-22,"$6,930 ",182</t>
  </si>
  <si>
    <t>Van Tuxwell,India,Choco Coated Almonds,13-Apr-22,"$5,733 ",114</t>
  </si>
  <si>
    <t>Andria Kimpton,USA,Caramel Stuffed Bars,02-May-22,"$8,393 ",46</t>
  </si>
  <si>
    <t>Dotty Strutley,USA,99% Dark &amp; Pure,09-Aug-22,"$3,822 ",320</t>
  </si>
  <si>
    <t>Camilla Castle,Australia,Raspberry Choco,23-Aug-22,"$6,342 ",178</t>
  </si>
  <si>
    <t>Gunar Cockshoot,India,Spicy Special Slims,13-May-22,"$6,510 ",170</t>
  </si>
  <si>
    <t>Karlen McCaffrey,USA,Manuka Honey Choco,01-Feb-22,"$10,171 ",67</t>
  </si>
  <si>
    <t>Camilla Castle,USA,50% Dark Bites,23-Jun-22,"$5,908 ",301</t>
  </si>
  <si>
    <t>Madelene Upcott,UK,Choco Coated Almonds,24-May-22,"$10,164 ",134</t>
  </si>
  <si>
    <t>Jan Morforth,Canada,Mint Chip Choco,01-Apr-22,"$1,064 ",211</t>
  </si>
  <si>
    <t>Camilla Castle,Canada,70% Dark Bites,27-Jul-22,"$9,716 ",151</t>
  </si>
  <si>
    <t>Ches Bonnell,India,Peanut Butter Cubes,27-Jan-22,"$22,050 ",208</t>
  </si>
  <si>
    <t>Jan Morforth,India,Choco Coated Almonds,12-Aug-22,"$2,541 ",134</t>
  </si>
  <si>
    <t>Gigi Bohling,Canada,Almond Choco,01-Feb-22,"$9,989 ",49</t>
  </si>
  <si>
    <t>Rafaelita Blaksland,India,After Nines,02-Mar-22,"$4,739 ",204</t>
  </si>
  <si>
    <t>Kelci Walkden,Australia,99% Dark &amp; Pure,30-Jun-22,"$3,185 ",34</t>
  </si>
  <si>
    <t>Dotty Strutley,Australia,Spicy Special Slims,17-Jan-22,"$8,225 ",91</t>
  </si>
  <si>
    <t>Brien Boise,USA,Milk Bars,07-Jul-22,"$14,301 ",130</t>
  </si>
  <si>
    <t>Mallorie Waber,New Zealand,Mint Chip Choco,31-Jan-22,"$1,316 ",107</t>
  </si>
  <si>
    <t>Beverie Moffet,UK,99% Dark &amp; Pure,10-Aug-22,"$3,486 ",121</t>
  </si>
  <si>
    <t>Beverie Moffet,USA,Peanut Butter Cubes,18-Aug-22,"$13,930 ",339</t>
  </si>
  <si>
    <t>Brien Boise,New Zealand,White Choc,15-Jun-22,"$5,509 ",321</t>
  </si>
  <si>
    <t>Marney O'Breen,USA,Baker's Choco Chips,26-Jan-22,"$8,470 ",9</t>
  </si>
  <si>
    <t>Kelci Walkden,USA,Spicy Special Slims,29-Apr-22,$77 ,69</t>
  </si>
  <si>
    <t>Mallorie Waber,Canada,White Choc,03-Mar-22,"$3,381 ",72</t>
  </si>
  <si>
    <t>Kaine Padly,Australia,Almond Choco,22-Feb-22,"$4,102 ",392</t>
  </si>
  <si>
    <t>Oby Sorrel,USA,Smooth Sliky Salty,04-Mar-22,"$3,577 ",158</t>
  </si>
  <si>
    <t>Dennison Crosswaite,India,Smooth Sliky Salty,07-Jul-22,"$2,975 ",9</t>
  </si>
  <si>
    <t>Camilla Castle,New Zealand,Caramel Stuffed Bars,17-Jun-22,"$4,137 ",347</t>
  </si>
  <si>
    <t>Jan Morforth,Canada,Caramel Stuffed Bars,02-Aug-22,"$9,541 ",114</t>
  </si>
  <si>
    <t>Oby Sorrel,USA,Baker's Choco Chips,12-Aug-22,"$8,001 ",120</t>
  </si>
  <si>
    <t>Madelene Upcott,New Zealand,Peanut Butter Cubes,28-Jan-22,"$5,152 ",333</t>
  </si>
  <si>
    <t>Kelci Walkden,Australia,Orange Choco,29-Apr-22,"$11,116 ",432</t>
  </si>
  <si>
    <t>Marney O'Breen,Australia,Manuka Honey Choco,05-Apr-22,"$13,076 ",236</t>
  </si>
  <si>
    <t>Kaine Padly,Canada,Manuka Honey Choco,18-Jan-22,"$10,213 ",135</t>
  </si>
  <si>
    <t>Jehu Rudeforth,UK,Baker's Choco Chips,16-May-22,"$2,485 ",97</t>
  </si>
  <si>
    <t>Kelci Walkden,Australia,White Choc,24-Aug-22,"$8,715 ",168</t>
  </si>
  <si>
    <t>Curtice Advani,India,85% Dark Bars,18-Jan-22,$273 ,402</t>
  </si>
  <si>
    <t>Kaine Padly,USA,Eclairs,22-Aug-22,"$7,623 ",10</t>
  </si>
  <si>
    <t>Gunar Cockshoot,UK,99% Dark &amp; Pure,07-Mar-22,$7 ,84</t>
  </si>
  <si>
    <t>Beverie Moffet,UK,Choco Coated Almonds,04-Mar-22,"$3,010 ",69</t>
  </si>
  <si>
    <t>Dotty Strutley,Canada,Manuka Honey Choco,22-Apr-22,"$11,550 ",111</t>
  </si>
  <si>
    <t>Kaine Padly,Australia,Milk Bars,09-Jun-22,"$4,046 ",89</t>
  </si>
  <si>
    <t>Jan Morforth,Canada,Fruit &amp; Nut Bars,25-Jul-22,"$8,904 ",199</t>
  </si>
  <si>
    <t>Jan Morforth,India,Smooth Sliky Salty,03-Aug-22,"$11,298 ",89</t>
  </si>
  <si>
    <t>Rafaelita Blaksland,Australia,Manuka Honey Choco,03-Aug-22,"$4,396 ",131</t>
  </si>
  <si>
    <t>Jehu Rudeforth,UK,Milk Bars,03-May-22,"$12,068 ",227</t>
  </si>
  <si>
    <t>Husein Augar,Canada,After Nines,19-Jan-22,"$9,772 ",301</t>
  </si>
  <si>
    <t>Roddy Speechley,USA,50% Dark Bites,11-Feb-22,"$10,458 ",316</t>
  </si>
  <si>
    <t>Van Tuxwell,India,Almond Choco,14-Jun-22,"$6,426 ",390</t>
  </si>
  <si>
    <t>Kelci Walkden,USA,50% Dark Bites,23-Mar-22,"$6,188 ",223</t>
  </si>
  <si>
    <t>Madelene Upcott,Canada,85% Dark Bars,17-Feb-22,"$7,504 ",101</t>
  </si>
  <si>
    <t>Dennison Crosswaite,Canada,Smooth Sliky Salty,17-Mar-22,"$1,750 ",479</t>
  </si>
  <si>
    <t>Mallorie Waber,Australia,Spicy Special Slims,29-Jun-22,"$5,439 ",287</t>
  </si>
  <si>
    <t>Ches Bonnell,Canada,Choco Coated Almonds,24-Aug-22,"$15,547 ",269</t>
  </si>
  <si>
    <t>Gigi Bohling,Canada,Spicy Special Slims,04-Jul-22,"$11,956 ",277</t>
  </si>
  <si>
    <t>Roddy Speechley,New Zealand,Almond Choco,28-Mar-22,"$2,723 ",67</t>
  </si>
  <si>
    <t>Curtice Advani,India,Smooth Sliky Salty,19-Apr-22,"$19,327 ",135</t>
  </si>
  <si>
    <t>Ches Bonnell,New Zealand,Mint Chip Choco,18-Jan-22,"$9,058 ",229</t>
  </si>
  <si>
    <t>Van Tuxwell,New Zealand,Fruit &amp; Nut Bars,17-Jan-22,"$2,996 ",88</t>
  </si>
  <si>
    <t>Andria Kimpton,New Zealand,Mint Chip Choco,15-Feb-22,"$8,848 ",211</t>
  </si>
  <si>
    <t>Andria Kimpton,UK,Milk Bars,11-Feb-22,"$14,336 ",293</t>
  </si>
  <si>
    <t>Camilla Castle,USA,Manuka Honey Choco,21-Mar-22,"$16,401 ",179</t>
  </si>
  <si>
    <t>Gunar Cockshoot,New Zealand,Almond Choco,05-Jan-22,"$5,173 ",129</t>
  </si>
  <si>
    <t>Brien Boise,India,Raspberry Choco,30-May-22,"$6,328 ",164</t>
  </si>
  <si>
    <t>Jehu Rudeforth,USA,99% Dark &amp; Pure,04-Jan-22,"$2,534 ",219</t>
  </si>
  <si>
    <t>Beverie Moffet,Australia,Fruit &amp; Nut Bars,22-Apr-22,"$1,435 ",258</t>
  </si>
  <si>
    <t>Gigi Bohling,Canada,Milk Bars,10-Feb-22,"$3,052 ",116</t>
  </si>
  <si>
    <t>Dotty Strutley,India,Spicy Special Slims,12-Aug-22,$910 ,204</t>
  </si>
  <si>
    <t>Gunar Cockshoot,USA,Organic Choco Syrup,10-Aug-22,"$2,331 ",321</t>
  </si>
  <si>
    <t>Kelci Walkden,Australia,Raspberry Choco,07-Jun-22,$679 ,56</t>
  </si>
  <si>
    <t>Jehu Rudeforth,India,Baker's Choco Chips,06-Jun-22,"$2,086 ",74</t>
  </si>
  <si>
    <t>Karlen McCaffrey,New Zealand,Baker's Choco Chips,05-Apr-22,"$5,012 ",189</t>
  </si>
  <si>
    <t>Wilone O'Kielt,USA,50% Dark Bites,18-Apr-22,"$4,501 ",131</t>
  </si>
  <si>
    <t>Andria Kimpton,India,50% Dark Bites,31-Jan-22,"$13,482 ",15</t>
  </si>
  <si>
    <t>Madelene Upcott,USA,Baker's Choco Chips,22-Aug-22,"$5,621 ",140</t>
  </si>
  <si>
    <t>Jehu Rudeforth,Australia,99% Dark &amp; Pure,25-Feb-22,"$10,486 ",198</t>
  </si>
  <si>
    <t>Jan Morforth,Australia,Mint Chip Choco,22-Feb-22,"$17,626 ",103</t>
  </si>
  <si>
    <t>Oby Sorrel,New Zealand,Milk Bars,12-Jan-22,"$4,494 ",187</t>
  </si>
  <si>
    <t>Brien Boise,UK,Almond Choco,25-May-22,$105 ,125</t>
  </si>
  <si>
    <t>Kelci Walkden,India,Smooth Sliky Salty,01-Feb-22,"$2,464 ",8</t>
  </si>
  <si>
    <t>Rafaelita Blaksland,UK,Eclairs,27-Apr-22,"$1,379 ",70</t>
  </si>
  <si>
    <t>Gigi Bohling,USA,Smooth Sliky Salty,22-Jul-22,"$2,583 ",126</t>
  </si>
  <si>
    <t>Curtice Advani,New Zealand,Mint Chip Choco,26-Jan-22,"$3,220 ",265</t>
  </si>
  <si>
    <t>Curtice Advani,USA,Mint Chip Choco,24-Aug-22,"$4,802 ",296</t>
  </si>
  <si>
    <t>Madelene Upcott,New Zealand,Fruit &amp; Nut Bars,18-Jan-22,"$5,677 ",21</t>
  </si>
  <si>
    <t>Karlen McCaffrey,India,85% Dark Bars,30-Mar-22,$945 ,83</t>
  </si>
  <si>
    <t>Ches Bonnell,Australia,Caramel Stuffed Bars,17-Jan-22,"$8,757 ",162</t>
  </si>
  <si>
    <t>Kelci Walkden,USA,Fruit &amp; Nut Bars,17-Feb-22,"$4,816 ",145</t>
  </si>
  <si>
    <t>Kelci Walkden,Canada,Peanut Butter Cubes,08-Apr-22,"$7,532 ",44</t>
  </si>
  <si>
    <t>Gigi Bohling,Canada,Drinking Coco,06-Jul-22,"$3,549 ",82</t>
  </si>
  <si>
    <t>Husein Augar,India,Fruit &amp; Nut Bars,04-Apr-22,"$4,340 ",226</t>
  </si>
  <si>
    <t>Jan Morforth,New Zealand,Organic Choco Syrup,02-Mar-22,"$1,799 ",207</t>
  </si>
  <si>
    <t>Gigi Bohling,New Zealand,Raspberry Choco,09-Aug-22,"$1,127 ",176</t>
  </si>
  <si>
    <t>Dennison Crosswaite,Australia,Milk Bars,09-Jun-22,"$10,038 ",286</t>
  </si>
  <si>
    <t>Ches Bonnell,UK,Caramel Stuffed Bars,02-Jun-22,"$2,926 ",300</t>
  </si>
  <si>
    <t>Van Tuxwell,USA,Fruit &amp; Nut Bars,05-Jul-22,"$6,279 ",235</t>
  </si>
  <si>
    <t>Andria Kimpton,Canada,Eclairs,11-Aug-22,$308 ,125</t>
  </si>
  <si>
    <t>Madelene Upcott,India,Choco Coated Almonds,11-Feb-22,"$3,500 ",145</t>
  </si>
  <si>
    <t>Kelci Walkden,New Zealand,Spicy Special Slims,11-Aug-22,$658 ,65</t>
  </si>
  <si>
    <t>Roddy Speechley,Australia,Drinking Coco,12-May-22,"$12,565 ",102</t>
  </si>
  <si>
    <t>Wilone O'Kielt,USA,Milk Bars,15-Jul-22,"$5,012 ",93</t>
  </si>
  <si>
    <t>Andria Kimpton,India,Organic Choco Syrup,18-Jan-22,"$3,955 ",134</t>
  </si>
  <si>
    <t>Madelene Upcott,UK,Fruit &amp; Nut Bars,05-Jan-22,"$8,512 ",189</t>
  </si>
  <si>
    <t>Curtice Advani,Australia,50% Dark Bites,29-Jun-22,$504 ,232</t>
  </si>
  <si>
    <t>Brien Boise,Canada,Raspberry Choco,14-Jun-22,"$2,800 ",45</t>
  </si>
  <si>
    <t>Gunar Cockshoot,India,Mint Chip Choco,08-Aug-22,"$4,256 ",67</t>
  </si>
  <si>
    <t>Dennison Crosswaite,India,Mint Chip Choco,23-Mar-22,"$13,573 ",138</t>
  </si>
  <si>
    <t>Barr Faughny,India,Caramel Stuffed Bars,04-Jan-22,"$6,566 ",99</t>
  </si>
  <si>
    <t>Brien Boise,India,Milk Bars,22-Feb-22,"$13,503 ",251</t>
  </si>
  <si>
    <t>Beverie Moffet,UK,Spicy Special Slims,17-Feb-22,"$8,680 ",252</t>
  </si>
  <si>
    <t>Barr Faughny,USA,Almond Choco,03-Feb-22,$385 ,78</t>
  </si>
  <si>
    <t>Van Tuxwell,Canada,Raspberry Choco,17-Mar-22,"$1,267 ",130</t>
  </si>
  <si>
    <t>Wilone O'Kielt,Australia,Baker's Choco Chips,25-Jan-22,"$2,961 ",154</t>
  </si>
  <si>
    <t>Brien Boise,Australia,Milk Bars,27-Jul-22,"$1,981 ",52</t>
  </si>
  <si>
    <t>Husein Augar,Australia,Fruit &amp; Nut Bars,28-Jan-22,"$7,959 ",53</t>
  </si>
  <si>
    <t>Madelene Upcott,Australia,Organic Choco Syrup,05-Jul-22,"$10,794 ",50</t>
  </si>
  <si>
    <t>Van Tuxwell,India,White Choc,15-Mar-22,"$1,897 ",44</t>
  </si>
  <si>
    <t>Gunar Cockshoot,Canada,After Nines,04-Aug-22,"$2,744 ",200</t>
  </si>
  <si>
    <t>Jan Morforth,USA,Fruit &amp; Nut Bars,27-Jun-22,"$4,382 ",361</t>
  </si>
  <si>
    <t>Jan Morforth,Canada,After Nines,13-Jul-22,"$4,515 ",172</t>
  </si>
  <si>
    <t>Barr Faughny,New Zealand,Manuka Honey Choco,24-Feb-22,"$5,474 ",239</t>
  </si>
  <si>
    <t>Karlen McCaffrey,New Zealand,85% Dark Bars,28-Jun-22,"$6,069 ",55</t>
  </si>
  <si>
    <t>Oby Sorrel,Australia,85% Dark Bars,30-Jun-22,"$6,944 ",27</t>
  </si>
  <si>
    <t>Curtice Advani,Canada,Choco Coated Almonds,18-Aug-22,"$5,859 ",7</t>
  </si>
  <si>
    <t>Kaine Padly,India,70% Dark Bites,24-Jan-22,"$12,173 ",301</t>
  </si>
  <si>
    <t>Beverie Moffet,USA,White Choc,11-Mar-22,"$5,292 ",134</t>
  </si>
  <si>
    <t>Ches Bonnell,New Zealand,After Nines,23-Jun-22,"$5,705 ",350</t>
  </si>
  <si>
    <t>Husein Augar,India,Spicy Special Slims,22-Aug-22,"$2,492 ",33</t>
  </si>
  <si>
    <t>Gunar Cockshoot,Canada,50% Dark Bites,04-Jan-22,"$3,024 ",23</t>
  </si>
  <si>
    <t>Curtice Advani,India,Milk Bars,05-Apr-22,"$3,437 ",201</t>
  </si>
  <si>
    <t>Beverie Moffet,India,Milk Bars,15-Apr-22,"$1,869 ",323</t>
  </si>
  <si>
    <t>Husein Augar,Australia,White Choc,11-May-22,"$3,171 ",220</t>
  </si>
  <si>
    <t>Andria Kimpton,Canada,Manuka Honey Choco,21-Jul-22,"$4,858 ",488</t>
  </si>
  <si>
    <t>Jan Morforth,New Zealand,Orange Choco,11-Feb-22,"$1,225 ",84</t>
  </si>
  <si>
    <t>Andria Kimpton,Canada,Smooth Sliky Salty,08-Jul-22,"$1,155 ",79</t>
  </si>
  <si>
    <t>Gunar Cockshoot,UK,Raspberry Choco,11-Aug-22,"$6,811 ",344</t>
  </si>
  <si>
    <t>Husein Augar,New Zealand,After Nines,04-Aug-22,"$6,433 ",7</t>
  </si>
  <si>
    <t>Andria Kimpton,New Zealand,Orange Choco,14-Jun-22,"$8,169 ",88</t>
  </si>
  <si>
    <t>Dennison Crosswaite,UK,Baker's Choco Chips,17-Jan-22,"$2,275 ",275</t>
  </si>
  <si>
    <t>Jehu Rudeforth,Canada,Orange Choco,23-Jun-22,"$3,857 ",512</t>
  </si>
  <si>
    <t>Jehu Rudeforth,UK,Smooth Sliky Salty,24-Aug-22,"$1,463 ",113</t>
  </si>
  <si>
    <t>Andria Kimpton,UK,Caramel Stuffed Bars,07-Jun-22,"$7,924 ",275</t>
  </si>
  <si>
    <t>Jan Morforth,UK,White Choc,22-Jun-22,"$8,799 ",47</t>
  </si>
  <si>
    <t>Dotty Strutley,USA,Fruit &amp; Nut Bars,13-Jul-22,"$2,898 ",276</t>
  </si>
  <si>
    <t>Kelci Walkden,UK,Choco Coated Almonds,24-May-22,"$9,506 ",212</t>
  </si>
  <si>
    <t>Gunar Cockshoot,New Zealand,After Nines,09-Aug-22,"$7,175 ",145</t>
  </si>
  <si>
    <t>Kaine Padly,Canada,85% Dark Bars,06-Apr-22,"$1,729 ",31</t>
  </si>
  <si>
    <t>Jan Morforth,New Zealand,Manuka Honey Choco,28-Jul-22,"$1,589 ",271</t>
  </si>
  <si>
    <t>Gunar Cockshoot,New Zealand,Raspberry Choco,24-Aug-22,$630 ,52</t>
  </si>
  <si>
    <t>Van Tuxwell,Australia,99% Dark &amp; Pure,17-Jan-22,$112 ,128</t>
  </si>
  <si>
    <t>Curtice Advani,USA,Drinking Coco,07-Feb-22,"$5,187 ",142</t>
  </si>
  <si>
    <t>Brien Boise,Australia,Spicy Special Slims,09-May-22,"$6,223 ",256</t>
  </si>
  <si>
    <t>Mallorie Waber,New Zealand,85% Dark Bars,06-Jun-22,"$7,714 ",106</t>
  </si>
  <si>
    <t>Wilone O'Kielt,USA,Choco Coated Almonds,06-Jun-22,"$9,457 ",6</t>
  </si>
  <si>
    <t>Beverie Moffet,New Zealand,Organic Choco Syrup,24-May-22,"$6,678 ",226</t>
  </si>
  <si>
    <t>Gunar Cockshoot,UK,50% Dark Bites,13-Jan-22,"$2,107 ",121</t>
  </si>
  <si>
    <t>Marney O'Breen,USA,Raspberry Choco,23-May-22,"$6,069 ",151</t>
  </si>
  <si>
    <t>Jehu Rudeforth,UK,White Choc,29-Jun-22,"$1,862 ",284</t>
  </si>
  <si>
    <t>Jehu Rudeforth,New Zealand,85% Dark Bars,11-Mar-22,"$6,972 ",89</t>
  </si>
  <si>
    <t>Dotty Strutley,USA,85% Dark Bars,25-Apr-22,"$10,220 ",508</t>
  </si>
  <si>
    <t>Rafaelita Blaksland,Australia,Smooth Sliky Salty,30-May-22,"$3,969 ",243</t>
  </si>
  <si>
    <t>Curtice Advani,India,Manuka Honey Choco,23-May-22,"$1,547 ",170</t>
  </si>
  <si>
    <t>Mallorie Waber,USA,Peanut Butter Cubes,23-May-22,"$1,162 ",18</t>
  </si>
  <si>
    <t>Van Tuxwell,Canada,Peanut Butter Cubes,24-Jun-22,"$6,342 ",282</t>
  </si>
  <si>
    <t>Kelci Walkden,New Zealand,Smooth Sliky Salty,11-Mar-22,"$10,633 ",277</t>
  </si>
  <si>
    <t>Rafaelita Blaksland,USA,Smooth Sliky Salty,27-Jul-22,"$15,057 ",212</t>
  </si>
  <si>
    <t>Rafaelita Blaksland,USA,White Choc,16-Aug-22,"$4,704 ",126</t>
  </si>
  <si>
    <t>Roddy Speechley,Canada,Smooth Sliky Salty,07-Mar-22,"$9,338 ",11</t>
  </si>
  <si>
    <t>Curtice Advani,New Zealand,After Nines,05-Apr-22,"$7,959 ",30</t>
  </si>
  <si>
    <t>Camilla Castle,India,85% Dark Bars,04-May-22,"$9,023 ",51</t>
  </si>
  <si>
    <t>Ches Bonnell,USA,Choco Coated Almonds,04-Jan-22,"$14,525 ",92</t>
  </si>
  <si>
    <t>Marney O'Breen,Australia,Baker's Choco Chips,13-Jan-22,"$5,810 ",101</t>
  </si>
  <si>
    <t>Wilone O'Kielt,New Zealand,Fruit &amp; Nut Bars,11-Jul-22,"$6,426 ",98</t>
  </si>
  <si>
    <t>Kaine Padly,Australia,Mint Chip Choco,17-May-22,"$4,403 ",159</t>
  </si>
  <si>
    <t>Camilla Castle,New Zealand,Peanut Butter Cubes,21-Jul-22,"$1,582 ",62</t>
  </si>
  <si>
    <t>Curtice Advani,Canada,Organic Choco Syrup,22-Feb-22,$791 ,22</t>
  </si>
  <si>
    <t>Jan Morforth,India,99% Dark &amp; Pure,23-May-22,"$9,100 ",187</t>
  </si>
  <si>
    <t>Rafaelita Blaksland,Canada,Drinking Coco,12-Jul-22,"$9,884 ",200</t>
  </si>
  <si>
    <t>Jan Morforth,UK,Orange Choco,15-Jun-22,"$3,780 ",201</t>
  </si>
  <si>
    <t>Barr Faughny,New Zealand,50% Dark Bites,23-Jun-22,"$4,557 ",308</t>
  </si>
  <si>
    <t>Curtice Advani,Australia,Eclairs,25-Mar-22,"$5,796 ",55</t>
  </si>
  <si>
    <t>Jan Morforth,India,Caramel Stuffed Bars,04-Jul-22,$84 ,153</t>
  </si>
  <si>
    <t>Andria Kimpton,UK,White Choc,12-May-22,"$9,037 ",101</t>
  </si>
  <si>
    <t>Camilla Castle,New Zealand,Raspberry Choco,04-Apr-22,"$4,746 ",137</t>
  </si>
  <si>
    <t>Madelene Upcott,Australia,Orange Choco,15-Apr-22,"$6,713 ",398</t>
  </si>
  <si>
    <t>Roddy Speechley,Canada,Eclairs,08-Mar-22,"$6,237 ",88</t>
  </si>
  <si>
    <t>Karlen McCaffrey,India,White Choc,17-Jan-22,"$7,483 ",232</t>
  </si>
  <si>
    <t>Wilone O'Kielt,India,Mint Chip Choco,22-Aug-22,"$1,309 ",51</t>
  </si>
  <si>
    <t>Andria Kimpton,UK,99% Dark &amp; Pure,25-Jul-22,"$1,155 ",66</t>
  </si>
  <si>
    <t>Marney O'Breen,UK,50% Dark Bites,14-Jun-22,"$2,989 ",124</t>
  </si>
  <si>
    <t>Ches Bonnell,India,Choco Coated Almonds,05-Apr-22,"$9,625 ",78</t>
  </si>
  <si>
    <t>Madelene Upcott,UK,Raspberry Choco,26-Aug-22,"$7,357 ",341</t>
  </si>
  <si>
    <t>Wilone O'Kielt,Australia,50% Dark Bites,03-Aug-22,"$10,031 ",114</t>
  </si>
  <si>
    <t>Gigi Bohling,Canada,White Choc,11-Jul-22,"$6,587 ",4</t>
  </si>
  <si>
    <t>Wilone O'Kielt,New Zealand,Eclairs,11-Mar-22,"$3,311 ",22</t>
  </si>
  <si>
    <t>Brien Boise,UK,Peanut Butter Cubes,10-Jan-22,"$15,330 ",30</t>
  </si>
  <si>
    <t>Roddy Speechley,UK,Baker's Choco Chips,04-Apr-22,"$14,028 ",351</t>
  </si>
  <si>
    <t>Karlen McCaffrey,Australia,50% Dark Bites,17-Jan-22,"$6,678 ",708</t>
  </si>
  <si>
    <t>Marney O'Breen,New Zealand,Organic Choco Syrup,08-Jul-22,"$8,624 ",50</t>
  </si>
  <si>
    <t>Jan Morforth,UK,Organic Choco Syrup,12-Apr-22,"$1,197 ",356</t>
  </si>
  <si>
    <t>Rafaelita Blaksland,Canada,Fruit &amp; Nut Bars,24-Aug-22,$483 ,185</t>
  </si>
  <si>
    <t>Ches Bonnell,UK,Choco Coated Almonds,07-Jun-22,"$1,687 ",236</t>
  </si>
  <si>
    <t>Gunar Cockshoot,Canada,Almond Choco,28-Jul-22,"$1,309 ",30</t>
  </si>
  <si>
    <t>Husein Augar,USA,99% Dark &amp; Pure,21-Feb-22,"$9,534 ",111</t>
  </si>
  <si>
    <t>Dennison Crosswaite,Canada,Mint Chip Choco,08-Apr-22,"$1,694 ",289</t>
  </si>
  <si>
    <t>Brien Boise,UK,Manuka Honey Choco,28-Jun-22,$70 ,103</t>
  </si>
  <si>
    <t>Van Tuxwell,UK,Baker's Choco Chips,24-Mar-22,"$2,443 ",20</t>
  </si>
  <si>
    <t>Barr Faughny,Australia,Caramel Stuffed Bars,29-Jul-22,"$2,933 ",55</t>
  </si>
  <si>
    <t>Dennison Crosswaite,USA,Eclairs,25-May-22,"$2,044 ",90</t>
  </si>
  <si>
    <t>Gigi Bohling,Australia,Raspberry Choco,30-Mar-22,"$6,524 ",303</t>
  </si>
  <si>
    <t>Dennison Crosswaite,USA,Organic Choco Syrup,18-Jul-22,"$12,656 ",126</t>
  </si>
  <si>
    <t>Beverie Moffet,Canada,Orange Choco,10-May-22,"$8,722 ",109</t>
  </si>
  <si>
    <t>Mallorie Waber,Australia,Choco Coated Almonds,18-Mar-22,"$15,750 ",92</t>
  </si>
  <si>
    <t>Ches Bonnell,India,Caramel Stuffed Bars,15-Jun-22,"$6,839 ",56</t>
  </si>
  <si>
    <t>Van Tuxwell,Canada,50% Dark Bites,12-May-22,"$13,685 ",58</t>
  </si>
  <si>
    <t>Kelci Walkden,New Zealand,Baker's Choco Chips,23-Jun-22,"$2,912 ",110</t>
  </si>
  <si>
    <t>Beverie Moffet,India,Spicy Special Slims,21-Apr-22,"$3,339 ",171</t>
  </si>
  <si>
    <t>Gigi Bohling,Australia,Almond Choco,17-Aug-22,$910 ,117</t>
  </si>
  <si>
    <t>Rafaelita Blaksland,New Zealand,Eclairs,07-Feb-22,"$19,481 ",51</t>
  </si>
  <si>
    <t>Kelci Walkden,Canada,Smooth Sliky Salty,17-Mar-22,"$8,099 ",118</t>
  </si>
  <si>
    <t>Jan Morforth,India,Baker's Choco Chips,01-Aug-22,"$13,727 ",79</t>
  </si>
  <si>
    <t>Jehu Rudeforth,Australia,Milk Bars,18-Mar-22,"$8,659 ",29</t>
  </si>
  <si>
    <t>Gigi Bohling,Canada,Fruit &amp; Nut Bars,14-Jun-22,"$5,782 ",103</t>
  </si>
  <si>
    <t>Beverie Moffet,UK,Eclairs,22-Apr-22,"$8,463 ",155</t>
  </si>
  <si>
    <t>Marney O'Breen,New Zealand,Eclairs,18-Jan-22,"$4,914 ",31</t>
  </si>
  <si>
    <t>Husein Augar,Australia,99% Dark &amp; Pure,26-Aug-22,"$3,087 ",128</t>
  </si>
  <si>
    <t>Gunar Cockshoot,New Zealand,Fruit &amp; Nut Bars,10-Jun-22,"$9,205 ",419</t>
  </si>
  <si>
    <t>Curtice Advani,Canada,70% Dark Bites,31-Jan-22,"$2,303 ",7</t>
  </si>
  <si>
    <t>Kelci Walkden,New Zealand,Manuka Honey Choco,08-Apr-22,"$1,358 ",106</t>
  </si>
  <si>
    <t>Dotty Strutley,Australia,Baker's Choco Chips,07-Jun-22,"$3,605 ",68</t>
  </si>
  <si>
    <t>Barr Faughny,Australia,85% Dark Bars,10-Feb-22,"$8,498 ",44</t>
  </si>
  <si>
    <t>Beverie Moffet,Australia,50% Dark Bites,16-May-22,$700 ,457</t>
  </si>
  <si>
    <t>Gunar Cockshoot,India,Baker's Choco Chips,18-Mar-22,"$2,191 ",524</t>
  </si>
  <si>
    <t>Van Tuxwell,Australia,50% Dark Bites,13-Jul-22,$644 ,137</t>
  </si>
  <si>
    <t>Oby Sorrel,USA,Manuka Honey Choco,25-Jul-22,"$4,340 ",86</t>
  </si>
  <si>
    <t>Van Tuxwell,Canada,Choco Coated Almonds,19-Aug-22,"$2,282 ",296</t>
  </si>
  <si>
    <t>Karlen McCaffrey,Canada,70% Dark Bites,24-Jun-22,"$7,714 ",597</t>
  </si>
  <si>
    <t>Kelci Walkden,Canada,Fruit &amp; Nut Bars,20-Jun-22,$826 ,149</t>
  </si>
  <si>
    <t>Camilla Castle,India,99% Dark &amp; Pure,02-Aug-22,$203 ,207</t>
  </si>
  <si>
    <t>Madelene Upcott,New Zealand,70% Dark Bites,22-Feb-22,"$13,356 ",93</t>
  </si>
  <si>
    <t>Mallorie Waber,New Zealand,Orange Choco,01-Feb-22,"$6,510 ",23</t>
  </si>
  <si>
    <t>Jan Morforth,Canada,70% Dark Bites,14-Feb-22,"$5,894 ",305</t>
  </si>
  <si>
    <t>Kelci Walkden,Australia,Milk Bars,24-Feb-22,"$7,910 ",125</t>
  </si>
  <si>
    <t>Dennison Crosswaite,India,Orange Choco,18-Mar-22,$784 ,129</t>
  </si>
  <si>
    <t>Husein Augar,UK,Eclairs,30-Aug-22,"$1,750 ",252</t>
  </si>
  <si>
    <t>Gigi Bohling,USA,Peanut Butter Cubes,09-May-22,$280 ,75</t>
  </si>
  <si>
    <t>Wilone O'Kielt,USA,Smooth Sliky Salty,18-Jan-22,$504 ,87</t>
  </si>
  <si>
    <t>Curtice Advani,India,White Choc,04-Jul-22,"$7,154 ",342</t>
  </si>
  <si>
    <t>Oby Sorrel,New Zealand,Spicy Special Slims,03-Jun-22,"$1,617 ",13</t>
  </si>
  <si>
    <t>Beverie Moffet,New Zealand,Peanut Butter Cubes,23-Feb-22,"$10,822 ",30</t>
  </si>
  <si>
    <t>Dotty Strutley,New Zealand,99% Dark &amp; Pure,09-May-22,"$10,724 ",203</t>
  </si>
  <si>
    <t>Kelci Walkden,India,70% Dark Bites,06-Jun-22,"$3,640 ",106</t>
  </si>
  <si>
    <t>Kelci Walkden,India,Drinking Coco,04-Jul-22,"$7,532 ",234</t>
  </si>
  <si>
    <t>Brien Boise,New Zealand,Drinking Coco,06-Jun-22,"$1,582 ",100</t>
  </si>
  <si>
    <t>Dotty Strutley,Australia,Almond Choco,13-May-22,"$1,456 ",91</t>
  </si>
  <si>
    <t>Wilone O'Kielt,New Zealand,Organic Choco Syrup,31-Jan-22,"$2,016 ",277</t>
  </si>
  <si>
    <t>Ches Bonnell,New Zealand,Caramel Stuffed Bars,30-Jun-22,"$7,588 ",42</t>
  </si>
  <si>
    <t>Barr Faughny,Canada,Manuka Honey Choco,25-Aug-22,"$3,402 ",249</t>
  </si>
  <si>
    <t>Gigi Bohling,New Zealand,Smooth Sliky Salty,10-Jan-22,$700 ,97</t>
  </si>
  <si>
    <t>Brien Boise,USA,Manuka Honey Choco,22-Aug-22,"$1,904 ",8</t>
  </si>
  <si>
    <t>Roddy Speechley,New Zealand,85% Dark Bars,14-Apr-22,"$4,844 ",275</t>
  </si>
  <si>
    <t>Oby Sorrel,UK,Smooth Sliky Salty,31-May-22,"$9,625 ",313</t>
  </si>
  <si>
    <t>Oby Sorrel,UK,Raspberry Choco,08-Apr-22,"$4,599 ",323</t>
  </si>
  <si>
    <t>Roddy Speechley,USA,Drinking Coco,21-Feb-22,"$3,003 ",155</t>
  </si>
  <si>
    <t>Andria Kimpton,Australia,Manuka Honey Choco,30-Mar-22,"$9,744 ",377</t>
  </si>
  <si>
    <t>Mallorie Waber,India,Raspberry Choco,02-Mar-22,"$1,400 ",2</t>
  </si>
  <si>
    <t>Jehu Rudeforth,USA,Orange Choco,28-Jul-22,$364 ,170</t>
  </si>
  <si>
    <t>Kaine Padly,New Zealand,70% Dark Bites,24-Mar-22,"$7,231 ",38</t>
  </si>
  <si>
    <t>Curtice Advani,Australia,After Nines,11-Aug-22,$63 ,105</t>
  </si>
  <si>
    <t>Husein Augar,UK,Almond Choco,17-May-22,"$8,309 ",166</t>
  </si>
  <si>
    <t>Kaine Padly,Canada,Choco Coated Almonds,18-May-22,"$3,164 ",164</t>
  </si>
  <si>
    <t>Roddy Speechley,UK,Peanut Butter Cubes,17-Aug-22,"$5,691 ",171</t>
  </si>
  <si>
    <t>Ches Bonnell,New Zealand,Eclairs,04-Apr-22,$490 ,49</t>
  </si>
  <si>
    <t>Brien Boise,India,85% Dark Bars,09-Aug-22,"$18,032 ",205</t>
  </si>
  <si>
    <t>Brien Boise,New Zealand,Organic Choco Syrup,17-Jan-22,$637 ,313</t>
  </si>
  <si>
    <t>Andria Kimpton,Canada,White Choc,14-Feb-22,"$4,067 ",29</t>
  </si>
  <si>
    <t>Gigi Bohling,New Zealand,Orange Choco,16-May-22,"$8,204 ",307</t>
  </si>
  <si>
    <t>Ches Bonnell,Canada,Smooth Sliky Salty,16-Mar-22,"$9,870 ",121</t>
  </si>
  <si>
    <t>Husein Augar,Canada,70% Dark Bites,31-Jan-22,"$5,131 ",285</t>
  </si>
  <si>
    <t>Barr Faughny,Canada,Organic Choco Syrup,10-Mar-22,"$1,141 ",205</t>
  </si>
  <si>
    <t>Oby Sorrel,UK,Organic Choco Syrup,30-Jun-22,"$7,980 ",157</t>
  </si>
  <si>
    <t>Van Tuxwell,New Zealand,Eclairs,01-Mar-22,"$5,229 ",182</t>
  </si>
  <si>
    <t>Mallorie Waber,UK,Drinking Coco,27-May-22,"$3,423 ",100</t>
  </si>
  <si>
    <t>Oby Sorrel,UK,Milk Bars,11-Jul-22,"$6,468 ",223</t>
  </si>
  <si>
    <t>Karlen McCaffrey,New Zealand,Mint Chip Choco,02-Mar-22,"$4,326 ",61</t>
  </si>
  <si>
    <t>Jehu Rudeforth,USA,Raspberry Choco,04-Mar-22,"$7,154 ",133</t>
  </si>
  <si>
    <t>Kelci Walkden,UK,85% Dark Bars,23-Jun-22,"$3,997 ",228</t>
  </si>
  <si>
    <t>Kelci Walkden,USA,Almond Choco,27-Jan-22,"$5,180 ",233</t>
  </si>
  <si>
    <t>Marney O'Breen,Canada,Orange Choco,14-Jan-22,"$2,723 ",425</t>
  </si>
  <si>
    <t>Dennison Crosswaite,India,Fruit &amp; Nut Bars,29-Jul-22,$952 ,24</t>
  </si>
  <si>
    <t>Brien Boise,Canada,Smooth Sliky Salty,13-May-22,"$5,691 ",495</t>
  </si>
  <si>
    <t>Barr Faughny,Canada,Baker's Choco Chips,03-Feb-22,"$10,969 ",170</t>
  </si>
  <si>
    <t>Brien Boise,India,Smooth Sliky Salty,27-May-22,"$5,964 ",26</t>
  </si>
  <si>
    <t>Jan Morforth,Australia,Drinking Coco,18-Feb-22,"$2,821 ",24</t>
  </si>
  <si>
    <t>Brien Boise,India,Spicy Special Slims,28-Jan-22,"$1,302 ",33</t>
  </si>
  <si>
    <t>Van Tuxwell,UK,Eclairs,29-Jun-22,"$5,474 ",109</t>
  </si>
  <si>
    <t>Wilone O'Kielt,India,Caramel Stuffed Bars,13-Jan-22,"$4,179 ",276</t>
  </si>
  <si>
    <t>Jehu Rudeforth,UK,After Nines,27-Jun-22,"$1,946 ",164</t>
  </si>
  <si>
    <t>Barr Faughny,Canada,White Choc,29-Mar-22,"$4,291 ",1</t>
  </si>
  <si>
    <t>Gunar Cockshoot,India,Organic Choco Syrup,03-Jun-22,"$7,196 ",160</t>
  </si>
  <si>
    <t>Mallorie Waber,Canada,Smooth Sliky Salty,21-Mar-22,"$1,939 ",98</t>
  </si>
  <si>
    <t>Mallorie Waber,India,Eclairs,12-Apr-22,"$10,437 ",46</t>
  </si>
  <si>
    <t>Rafaelita Blaksland,Australia,Raspberry Choco,19-Jan-22,"$6,916 ",259</t>
  </si>
  <si>
    <t>Karlen McCaffrey,UK,50% Dark Bites,06-Apr-22,"$3,647 ",310</t>
  </si>
  <si>
    <t>Kaine Padly,Australia,50% Dark Bites,02-Aug-22,"$8,995 ",78</t>
  </si>
  <si>
    <t>Gigi Bohling,Australia,Eclairs,12-Apr-22,"$7,252 ",136</t>
  </si>
  <si>
    <t>Oby Sorrel,India,Drinking Coco,21-Jul-22,"$16,380 ",130</t>
  </si>
  <si>
    <t>Van Tuxwell,New Zealand,Baker's Choco Chips,22-Mar-22,"$9,660 ",24</t>
  </si>
  <si>
    <t>Husein Augar,India,Peanut Butter Cubes,09-May-22,"$4,522 ",5</t>
  </si>
  <si>
    <t>Andria Kimpton,Australia,Baker's Choco Chips,09-Aug-22,$329 ,109</t>
  </si>
  <si>
    <t>Madelene Upcott,Canada,Choco Coated Almonds,20-Jul-22,"$3,458 ",294</t>
  </si>
  <si>
    <t>Brien Boise,India,70% Dark Bites,14-Apr-22,"$4,641 ",413</t>
  </si>
  <si>
    <t>Jehu Rudeforth,Canada,White Choc,25-Jan-22,"$4,627 ",136</t>
  </si>
  <si>
    <t>Andria Kimpton,Australia,Almond Choco,25-Apr-22,"$3,192 ",175</t>
  </si>
  <si>
    <t>Dotty Strutley,Canada,After Nines,17-Jan-22,$252 ,237</t>
  </si>
  <si>
    <t>Karlen McCaffrey,USA,Eclairs,15-Aug-22,$868 ,125</t>
  </si>
  <si>
    <t>Karlen McCaffrey,Canada,Fruit &amp; Nut Bars,02-Jun-22,$210 ,16</t>
  </si>
  <si>
    <t>Gunar Cockshoot,USA,85% Dark Bars,30-Jun-22,"$7,007 ",135</t>
  </si>
  <si>
    <t>Dotty Strutley,New Zealand,Raspberry Choco,10-Feb-22,"$5,845 ",91</t>
  </si>
  <si>
    <t>Marney O'Breen,Canada,Caramel Stuffed Bars,23-Feb-22,"$1,372 ",614</t>
  </si>
  <si>
    <t>Dennison Crosswaite,India,Organic Choco Syrup,27-Jan-22,"$8,428 ",216</t>
  </si>
  <si>
    <t>Camilla Castle,UK,Mint Chip Choco,26-May-22,"$4,977 ",317</t>
  </si>
  <si>
    <t>Brien Boise,USA,70% Dark Bites,14-Apr-22,"$1,694 ",21</t>
  </si>
  <si>
    <t>Madelene Upcott,Australia,99% Dark &amp; Pure,01-Aug-22,"$4,326 ",154</t>
  </si>
  <si>
    <t>Mallorie Waber,Australia,Eclairs,22-Aug-22,"$9,527 ",222</t>
  </si>
  <si>
    <t>Marney O'Breen,India,99% Dark &amp; Pure,22-Jul-22,"$10,766 ",157</t>
  </si>
  <si>
    <t>Husein Augar,USA,Fruit &amp; Nut Bars,28-Apr-22,"$1,288 ",27</t>
  </si>
  <si>
    <t>Kelci Walkden,Australia,Almond Choco,30-May-22,"$4,879 ",350</t>
  </si>
  <si>
    <t>Ches Bonnell,USA,Milk Bars,21-Jul-22,"$2,408 ",157</t>
  </si>
  <si>
    <t>Jan Morforth,UK,Caramel Stuffed Bars,02-Aug-22,"$3,094 ",468</t>
  </si>
  <si>
    <t>Brien Boise,New Zealand,70% Dark Bites,15-Jun-22,"$7,231 ",130</t>
  </si>
  <si>
    <t>Oby Sorrel,India,85% Dark Bars,05-Jul-22,"$8,981 ",130</t>
  </si>
  <si>
    <t>Kaine Padly,New Zealand,Smooth Sliky Salty,12-Apr-22,$7 ,518</t>
  </si>
  <si>
    <t>Gigi Bohling,Australia,70% Dark Bites,18-Aug-22,"$1,372 ",105</t>
  </si>
  <si>
    <t>Jan Morforth,UK,50% Dark Bites,12-Jan-22,"$5,250 ",293</t>
  </si>
  <si>
    <t>Gunar Cockshoot,Canada,White Choc,11-Aug-22,"$7,560 ",15</t>
  </si>
  <si>
    <t>Jehu Rudeforth,Australia,Spicy Special Slims,13-Jan-22,"$5,012 ",384</t>
  </si>
  <si>
    <t>Husein Augar,UK,Baker's Choco Chips,29-Apr-22,"$3,038 ",135</t>
  </si>
  <si>
    <t>Rafaelita Blaksland,New Zealand,After Nines,07-Jul-22,"$1,099 ",92</t>
  </si>
  <si>
    <t>Madelene Upcott,New Zealand,Mint Chip Choco,11-Mar-22,"$7,413 ",4</t>
  </si>
  <si>
    <t>Madelene Upcott,UK,70% Dark Bites,16-Feb-22,"$5,397 ",239</t>
  </si>
  <si>
    <t>Barr Faughny,Australia,Organic Choco Syrup,07-Jan-22,"$2,303 ",33</t>
  </si>
  <si>
    <t>Beverie Moffet,New Zealand,Drinking Coco,12-Jan-22,"$1,141 ",518</t>
  </si>
  <si>
    <t>Beverie Moffet,India,Eclairs,09-Jun-22,"$10,325 ",147</t>
  </si>
  <si>
    <t>Andria Kimpton,India,Eclairs,16-May-22,"$2,149 ",84</t>
  </si>
  <si>
    <t>Gigi Bohling,UK,85% Dark Bars,23-Jun-22,"$12,362 ",94</t>
  </si>
  <si>
    <t>Roddy Speechley,UK,Raspberry Choco,28-Jan-22,"$12,635 ",194</t>
  </si>
  <si>
    <t>Dotty Strutley,UK,Mint Chip Choco,14-Jul-22,"$2,443 ",216</t>
  </si>
  <si>
    <t>Barr Faughny,Canada,Drinking Coco,18-Apr-22,"$6,237 ",247</t>
  </si>
  <si>
    <t>Oby Sorrel,USA,Milk Bars,14-Jun-22,"$1,736 ",79</t>
  </si>
  <si>
    <t>Oby Sorrel,UK,Orange Choco,15-Apr-22,"$7,315 ",237</t>
  </si>
  <si>
    <t>Curtice Advani,Canada,Peanut Butter Cubes,19-May-22,"$4,935 ",63</t>
  </si>
  <si>
    <t>Gigi Bohling,India,White Choc,13-Apr-22,"$1,393 ",172</t>
  </si>
  <si>
    <t>Husein Augar,Canada,Choco Coated Almonds,15-Aug-22,"$3,381 ",408</t>
  </si>
  <si>
    <t>Wilone O'Kielt,India,Choco Coated Almonds,22-Aug-22,"$2,933 ",233</t>
  </si>
  <si>
    <t>Wilone O'Kielt,New Zealand,Baker's Choco Chips,22-Apr-22,"$3,836 ",59</t>
  </si>
  <si>
    <t>Kaine Padly,UK,Choco Coated Almonds,03-Aug-22,"$8,022 ",123</t>
  </si>
  <si>
    <t>Dennison Crosswaite,New Zealand,Organic Choco Syrup,04-Jan-22,$371 ,229</t>
  </si>
  <si>
    <t>Kelci Walkden,Canada,After Nines,13-Jan-22,"$16,702 ",198</t>
  </si>
  <si>
    <t>Van Tuxwell,Australia,Baker's Choco Chips,11-May-22,"$13,258 ",32</t>
  </si>
  <si>
    <t>Husein Augar,New Zealand,Peanut Butter Cubes,16-Feb-22,"$2,058 ",236</t>
  </si>
  <si>
    <t>Kaine Padly,UK,Caramel Stuffed Bars,20-May-22,"$10,192 ",67</t>
  </si>
  <si>
    <t>Jehu Rudeforth,UK,Drinking Coco,03-Feb-22,"$7,140 ",438</t>
  </si>
  <si>
    <t>Beverie Moffet,India,Manuka Honey Choco,06-May-22,"$9,835 ",167</t>
  </si>
  <si>
    <t>Gunar Cockshoot,UK,Choco Coated Almonds,30-Jun-22,"$5,775 ",135</t>
  </si>
  <si>
    <t>Gunar Cockshoot,UK,Smooth Sliky Salty,22-Mar-22,$749 ,148</t>
  </si>
  <si>
    <t>Camilla Castle,Canada,Orange Choco,17-Feb-22,"$7,770 ",54</t>
  </si>
  <si>
    <t>Jehu Rudeforth,UK,85% Dark Bars,07-Jul-22,"$5,502 ",64</t>
  </si>
  <si>
    <t>Oby Sorrel,UK,70% Dark Bites,16-Mar-22,"$6,223 ",181</t>
  </si>
  <si>
    <t>Kelci Walkden,UK,99% Dark &amp; Pure,12-Aug-22,"$3,507 ",114</t>
  </si>
  <si>
    <t>Gigi Bohling,New Zealand,After Nines,21-Jan-22,"$5,600 ",181</t>
  </si>
  <si>
    <t>Oby Sorrel,Australia,50% Dark Bites,06-May-22,$721 ,151</t>
  </si>
  <si>
    <t>Oby Sorrel,Canada,50% Dark Bites,24-Jun-22,"$6,615 ",137</t>
  </si>
  <si>
    <t>Barr Faughny,USA,White Choc,05-May-22,"$7,420 ",163</t>
  </si>
  <si>
    <t>Rafaelita Blaksland,New Zealand,99% Dark &amp; Pure,25-Mar-22,"$3,164 ",84</t>
  </si>
  <si>
    <t>Curtice Advani,Australia,Caramel Stuffed Bars,14-Feb-22,"$9,114 ",140</t>
  </si>
  <si>
    <t>Curtice Advani,New Zealand,85% Dark Bars,12-May-22,"$5,404 ",187</t>
  </si>
  <si>
    <t>Barr Faughny,New Zealand,Smooth Sliky Salty,25-Jan-22,"$3,990 ",169</t>
  </si>
  <si>
    <t>Ches Bonnell,UK,85% Dark Bars,28-Jun-22,"$14,924 ",12</t>
  </si>
  <si>
    <t>Dennison Crosswaite,Australia,Drinking Coco,13-Jul-22,"$7,091 ",194</t>
  </si>
  <si>
    <t>Roddy Speechley,USA,Milk Bars,16-May-22,"$2,807 ",252</t>
  </si>
  <si>
    <t>Jan Morforth,India,After Nines,14-Mar-22,"$6,496 ",168</t>
  </si>
  <si>
    <t>Gunar Cockshoot,USA,After Nines,15-Aug-22,"$3,738 ",261</t>
  </si>
  <si>
    <t>Ches Bonnell,India,Orange Choco,16-Feb-22,"$1,190 ",256</t>
  </si>
  <si>
    <t>Mallorie Waber,UK,Manuka Honey Choco,15-Jun-22,"$8,379 ",43</t>
  </si>
  <si>
    <t>Barr Faughny,Australia,Raspberry Choco,27-May-22,"$9,268 ",100</t>
  </si>
  <si>
    <t>Wilone O'Kielt,USA,Drinking Coco,14-Jun-22,"$1,029 ",98</t>
  </si>
  <si>
    <t>Wilone O'Kielt,India,Eclairs,25-Feb-22,"$3,549 ",76</t>
  </si>
  <si>
    <t>Wilone O'Kielt,India,After Nines,04-Aug-22,"$12,026 ",262</t>
  </si>
  <si>
    <t>Kelci Walkden,India,99% Dark &amp; Pure,28-Jun-22,"$2,303 ",244</t>
  </si>
  <si>
    <t>Gunar Cockshoot,Canada,Spicy Special Slims,05-Apr-22,"$13,405 ",12</t>
  </si>
  <si>
    <t>Madelene Upcott,Canada,Peanut Butter Cubes,05-Jul-22,"$14,763 ",113</t>
  </si>
  <si>
    <t>Kaine Padly,New Zealand,Eclairs,20-Jan-22,"$12,894 ",48</t>
  </si>
  <si>
    <t>Ches Bonnell,New Zealand,Drinking Coco,16-Feb-22,"$8,302 ",131</t>
  </si>
  <si>
    <t>Curtice Advani,UK,Drinking Coco,12-Jul-22,$455 ,174</t>
  </si>
  <si>
    <t>Kelci Walkden,India,Raspberry Choco,16-Jun-22,"$8,183 ",254</t>
  </si>
  <si>
    <t>Dotty Strutley,Australia,Choco Coated Almonds,13-Apr-22,"$1,645 ",284</t>
  </si>
  <si>
    <t>Kaine Padly,UK,50% Dark Bites,21-Feb-22,"$3,143 ",67</t>
  </si>
  <si>
    <t>Roddy Speechley,Canada,Choco Coated Almonds,11-May-22,"$5,873 ",249</t>
  </si>
  <si>
    <t>Ches Bonnell,India,50% Dark Bites,15-Apr-22,"$11,298 ",313</t>
  </si>
  <si>
    <t>Oby Sorrel,Canada,Peanut Butter Cubes,07-Jun-22,"$12,425 ",167</t>
  </si>
  <si>
    <t>Oby Sorrel,UK,White Choc,27-Jun-22,"$1,715 ",286</t>
  </si>
  <si>
    <t>Barr Faughny,India,After Nines,29-Jul-22,"$8,190 ",109</t>
  </si>
  <si>
    <t>Wilone O'Kielt,Canada,Smooth Sliky Salty,02-Jun-22,"$4,991 ",166</t>
  </si>
  <si>
    <t>Rafaelita Blaksland,India,Mint Chip Choco,26-Jan-22,"$15,491 ",85</t>
  </si>
  <si>
    <t>Rafaelita Blaksland,Canada,99% Dark &amp; Pure,02-Mar-22,"$5,096 ",142</t>
  </si>
  <si>
    <t>Van Tuxwell,Australia,70% Dark Bites,10-Jan-22,"$7,063 ",104</t>
  </si>
  <si>
    <t>Beverie Moffet,USA,70% Dark Bites,27-Jun-22,"$2,275 ",115</t>
  </si>
  <si>
    <t>Barr Faughny,Canada,Orange Choco,30-Jun-22,"$7,602 ",18</t>
  </si>
  <si>
    <t>Roddy Speechley,Australia,85% Dark Bars,08-Jul-22,"$4,200 ",80</t>
  </si>
  <si>
    <t>Oby Sorrel,India,Spicy Special Slims,08-Jun-22,"$11,137 ",88</t>
  </si>
  <si>
    <t>Jan Morforth,UK,Manuka Honey Choco,18-Aug-22,"$3,388 ",212</t>
  </si>
  <si>
    <t>Kaine Padly,Australia,After Nines,08-Apr-22,"$6,832 ",306</t>
  </si>
  <si>
    <t>Wilone O'Kielt,Canada,Fruit &amp; Nut Bars,08-Aug-22,"$3,437 ",181</t>
  </si>
  <si>
    <t>Wilone O'Kielt,UK,Milk Bars,26-Aug-22,$301 ,65</t>
  </si>
  <si>
    <t>Oby Sorrel,Canada,Fruit &amp; Nut Bars,14-Jan-22,"$1,869 ",158</t>
  </si>
  <si>
    <t>Dennison Crosswaite,USA,Baker's Choco Chips,11-Aug-22,"$17,465 ",271</t>
  </si>
  <si>
    <t>Madelene Upcott,USA,Almond Choco,31-May-22,"$10,143 ",24</t>
  </si>
  <si>
    <t>Van Tuxwell,New Zealand,50% Dark Bites,11-Jul-22,"$3,626 ",10</t>
  </si>
  <si>
    <t>Karlen McCaffrey,Canada,Caramel Stuffed Bars,02-Mar-22,"$3,346 ",304</t>
  </si>
  <si>
    <t>Madelene Upcott,Australia,Raspberry Choco,13-Jul-22,"$6,321 ",88</t>
  </si>
  <si>
    <t>Rafaelita Blaksland,UK,Spicy Special Slims,03-Aug-22,"$9,345 ",133</t>
  </si>
  <si>
    <t>Curtice Advani,UK,Peanut Butter Cubes,01-Mar-22,"$15,008 ",165</t>
  </si>
  <si>
    <t>Kelci Walkden,New Zealand,White Choc,13-Apr-22,"$7,609 ",150</t>
  </si>
  <si>
    <t>Beverie Moffet,Canada,Fruit &amp; Nut Bars,14-Feb-22,"$10,332 ",180</t>
  </si>
  <si>
    <t>Mallorie Waber,India,White Choc,26-Jul-22,$819 ,213</t>
  </si>
  <si>
    <t>Brien Boise,UK,Drinking Coco,27-Jan-22,"$5,754 ",133</t>
  </si>
  <si>
    <t>Jehu Rudeforth,India,Peanut Butter Cubes,14-Apr-22,$28 ,446</t>
  </si>
  <si>
    <t>Oby Sorrel,USA,Almond Choco,19-May-22,"$6,440 ",141</t>
  </si>
  <si>
    <t>Husein Augar,India,Eclairs,09-Feb-22,"$4,956 ",58</t>
  </si>
  <si>
    <t>Brien Boise,UK,Spicy Special Slims,25-May-22,"$2,352 ",58</t>
  </si>
  <si>
    <t>Oby Sorrel,Australia,Manuka Honey Choco,26-Jan-22,"$3,906 ",76</t>
  </si>
  <si>
    <t>Beverie Moffet,India,White Choc,04-Jul-22,"$1,813 ",296</t>
  </si>
  <si>
    <t>Ches Bonnell,India,Almond Choco,13-Apr-22,"$11,788 ",73</t>
  </si>
  <si>
    <t>Gigi Bohling,Australia,Smooth Sliky Salty,25-Jan-22,"$5,768 ",119</t>
  </si>
  <si>
    <t>Camilla Castle,USA,85% Dark Bars,25-Apr-22,"$2,401 ",78</t>
  </si>
  <si>
    <t>Camilla Castle,USA,Eclairs,10-Jun-22,"$4,515 ",392</t>
  </si>
  <si>
    <t>Madelene Upcott,New Zealand,White Choc,22-Aug-22,"$10,794 ",51</t>
  </si>
  <si>
    <t>Van Tuxwell,India,After Nines,27-Jun-22,"$13,706 ",207</t>
  </si>
  <si>
    <t>Husein Augar,India,Orange Choco,30-Jun-22,"$4,361 ",40</t>
  </si>
  <si>
    <t>Jehu Rudeforth,India,Almond Choco,30-Aug-22,"$10,122 ",100</t>
  </si>
  <si>
    <t>Karlen McCaffrey,Australia,Raspberry Choco,23-Aug-22,$994 ,57</t>
  </si>
  <si>
    <t>Camilla Castle,New Zealand,99% Dark &amp; Pure,26-Aug-22,"$2,268 ",42</t>
  </si>
  <si>
    <t>Gigi Bohling,Australia,Orange Choco,09-Mar-22,$574 ,156</t>
  </si>
  <si>
    <t>Kelci Walkden,UK,Drinking Coco,20-Apr-22,"$1,792 ",23</t>
  </si>
  <si>
    <t>Mallorie Waber,Canada,Caramel Stuffed Bars,10-Jun-22,"$4,844 ",539</t>
  </si>
  <si>
    <t>Husein Augar,Australia,Organic Choco Syrup,08-Feb-22,$938 ,158</t>
  </si>
  <si>
    <t>Brien Boise,Australia,White Choc,25-Aug-22,"$4,879 ",22</t>
  </si>
  <si>
    <t>Dotty Strutley,India,Peanut Butter Cubes,16-Feb-22,"$9,107 ",73</t>
  </si>
  <si>
    <t>Dennison Crosswaite,UK,99% Dark &amp; Pure,30-May-22,"$12,187 ",27</t>
  </si>
  <si>
    <t>Gigi Bohling,New Zealand,50% Dark Bites,29-Jun-22,"$5,670 ",64</t>
  </si>
  <si>
    <t>Gigi Bohling,USA,Milk Bars,16-Jun-22,$476 ,133</t>
  </si>
  <si>
    <t>Brien Boise,UK,Caramel Stuffed Bars,04-Mar-22,"$2,681 ",149</t>
  </si>
  <si>
    <t>Curtice Advani,New Zealand,Peanut Butter Cubes,15-Mar-22,"$1,533 ",434</t>
  </si>
  <si>
    <t>Curtice Advani,New Zealand,50% Dark Bites,27-Jan-22,"$9,765 ",85</t>
  </si>
  <si>
    <t>Beverie Moffet,Canada,Drinking Coco,05-Jul-22,$994 ,118</t>
  </si>
  <si>
    <t>Barr Faughny,USA,Caramel Stuffed Bars,29-Mar-22,"$3,318 ",299</t>
  </si>
  <si>
    <t>Mallorie Waber,Canada,Almond Choco,12-May-22,"$4,214 ",35</t>
  </si>
  <si>
    <t>Oby Sorrel,USA,Drinking Coco,11-Mar-22,"$7,714 ",44</t>
  </si>
  <si>
    <t>Brien Boise,New Zealand,Eclairs,11-Jul-22,"$4,690 ",299</t>
  </si>
  <si>
    <t>Gunar Cockshoot,New Zealand,Choco Coated Almonds,01-Aug-22,"$13,062 ",62</t>
  </si>
  <si>
    <t>Gunar Cockshoot,UK,Spicy Special Slims,16-Feb-22,"$12,488 ",200</t>
  </si>
  <si>
    <t>Curtice Advani,USA,After Nines,13-Apr-22,"$14,147 ",235</t>
  </si>
  <si>
    <t>Oby Sorrel,India,Choco Coated Almonds,14-Feb-22,$49 ,363</t>
  </si>
  <si>
    <t>Ches Bonnell,Australia,Peanut Butter Cubes,14-Mar-22,"$10,199 ",68</t>
  </si>
  <si>
    <t>Oby Sorrel,Australia,Spicy Special Slims,26-Apr-22,"$11,389 ",26</t>
  </si>
  <si>
    <t>Jehu Rudeforth,Canada,Manuka Honey Choco,05-Apr-22,"$3,584 ",200</t>
  </si>
  <si>
    <t>Camilla Castle,Canada,Drinking Coco,03-Mar-22,"$12,481 ",264</t>
  </si>
  <si>
    <t>Kaine Padly,USA,Spicy Special Slims,13-Jun-22,"$2,107 ",175</t>
  </si>
  <si>
    <t>Marney O'Breen,New Zealand,70% Dark Bites,14-Feb-22,"$8,603 ",352</t>
  </si>
  <si>
    <t>Roddy Speechley,New Zealand,99% Dark &amp; Pure,18-Apr-22,"$7,483 ",183</t>
  </si>
  <si>
    <t>Oby Sorrel,New Zealand,85% Dark Bars,01-Feb-22,"$3,381 ",417</t>
  </si>
  <si>
    <t>Dotty Strutley,New Zealand,Orange Choco,04-Aug-22,"$2,030 ",146</t>
  </si>
  <si>
    <t>Andria Kimpton,New Zealand,Almond Choco,05-Apr-22,"$6,559 ",158</t>
  </si>
  <si>
    <t>Karlen McCaffrey,Australia,99% Dark &amp; Pure,26-Jan-22,"$10,822 ",168</t>
  </si>
  <si>
    <t>Kaine Padly,UK,After Nines,21-Jan-22,"$18,697 ",176</t>
  </si>
  <si>
    <t>Kaine Padly,Canada,After Nines,22-Aug-22,"$5,845 ",172</t>
  </si>
  <si>
    <t>Kaine Padly,UK,Drinking Coco,27-Jan-22,"$2,317 ",224</t>
  </si>
  <si>
    <t>Rafaelita Blaksland,UK,50% Dark Bites,16-Feb-22,"$10,150 ",68</t>
  </si>
  <si>
    <t>Dotty Strutley,USA,Raspberry Choco,03-Jan-22,"$3,437 ",46</t>
  </si>
  <si>
    <t>Karlen McCaffrey,USA,White Choc,24-Aug-22,"$4,592 ",2</t>
  </si>
  <si>
    <t>Oby Sorrel,USA,Spicy Special Slims,07-Feb-22,"$5,691 ",417</t>
  </si>
  <si>
    <t>Mallorie Waber,Australia,Smooth Sliky Salty,11-Feb-22,"$4,158 ",109</t>
  </si>
  <si>
    <t>Kaine Padly,Canada,Organic Choco Syrup,29-Mar-22,"$5,684 ",81</t>
  </si>
  <si>
    <t>Marney O'Breen,USA,Peanut Butter Cubes,15-Jun-22,$693 ,350</t>
  </si>
  <si>
    <t>Dennison Crosswaite,UK,Smooth Sliky Salty,26-Apr-22,$546 ,142</t>
  </si>
  <si>
    <t>Brien Boise,Australia,Organic Choco Syrup,15-Jul-22,"$4,263 ",264</t>
  </si>
  <si>
    <t>Beverie Moffet,India,Organic Choco Syrup,23-Jun-22,"$1,036 ",20</t>
  </si>
  <si>
    <t>Dennison Crosswaite,Australia,Baker's Choco Chips,11-Jan-22,"$13,846 ",421</t>
  </si>
  <si>
    <t>Beverie Moffet,UK,50% Dark Bites,09-Feb-22,"$2,499 ",271</t>
  </si>
  <si>
    <t>Van Tuxwell,UK,Almond Choco,06-Jun-22,"$10,689 ",204</t>
  </si>
  <si>
    <t>Dotty Strutley,UK,Caramel Stuffed Bars,10-Aug-22,"$5,768 ",235</t>
  </si>
  <si>
    <t>Wilone O'Kielt,Australia,Smooth Sliky Salty,04-Jan-22,"$2,226 ",46</t>
  </si>
  <si>
    <t>Andria Kimpton,Canada,70% Dark Bites,08-Apr-22,"$10,262 ",15</t>
  </si>
  <si>
    <t>Barr Faughny,UK,Milk Bars,02-Mar-22,"$3,864 ",430</t>
  </si>
  <si>
    <t>Van Tuxwell,Canada,Drinking Coco,15-Jun-22,"$4,900 ",709</t>
  </si>
  <si>
    <t>Jehu Rudeforth,Australia,After Nines,14-Feb-22,"$5,250 ",47</t>
  </si>
  <si>
    <t>Husein Augar,UK,After Nines,05-Jul-22,"$3,507 ",380</t>
  </si>
  <si>
    <t>Barr Faughny,India,Mint Chip Choco,12-Jan-22,"$7,413 ",465</t>
  </si>
  <si>
    <t>Curtice Advani,India,Mint Chip Choco,03-Mar-22,"$8,155 ",96</t>
  </si>
  <si>
    <t>Jehu Rudeforth,New Zealand,Milk Bars,18-May-22,"$2,478 ",188</t>
  </si>
  <si>
    <t>Gunar Cockshoot,India,Caramel Stuffed Bars,28-Jul-22,"$2,471 ",202</t>
  </si>
  <si>
    <t>Curtice Advani,UK,Manuka Honey Choco,07-Feb-22,"$1,666 ",106</t>
  </si>
  <si>
    <t>Andria Kimpton,India,Orange Choco,30-May-22,$301 ,421</t>
  </si>
  <si>
    <t>Mallorie Waber,Australia,Raspberry Choco,25-Apr-22,"$8,400 ",27</t>
  </si>
  <si>
    <t>Beverie Moffet,Canada,85% Dark Bars,16-Feb-22,"$6,139 ",45</t>
  </si>
  <si>
    <t>Kelci Walkden,Australia,Drinking Coco,04-May-22,"$1,288 ",60</t>
  </si>
  <si>
    <t>Van Tuxwell,Canada,70% Dark Bites,02-Jun-22,"$7,077 ",77</t>
  </si>
  <si>
    <t>Dennison Crosswaite,USA,Caramel Stuffed Bars,11-Jul-22,"$2,317 ",464</t>
  </si>
  <si>
    <t>Beverie Moffet,New Zealand,Spicy Special Slims,07-Jun-22,$63 ,60</t>
  </si>
  <si>
    <t>Jan Morforth,UK,Almond Choco,06-Jul-22,"$9,744 ",157</t>
  </si>
  <si>
    <t>Husein Augar,India,Raspberry Choco,15-Jun-22,"$9,954 ",154</t>
  </si>
  <si>
    <t>Dotty Strutley,India,Mint Chip Choco,14-Apr-22,"$1,260 ",239</t>
  </si>
  <si>
    <t>Camilla Castle,India,Drinking Coco,08-Aug-22,$469 ,163</t>
  </si>
  <si>
    <t>Marney O'Breen,UK,Drinking Coco,29-Mar-22,$973 ,28</t>
  </si>
  <si>
    <t>Roddy Speechley,Australia,Organic Choco Syrup,04-Jul-22,"$3,647 ",76</t>
  </si>
  <si>
    <t>Ches Bonnell,India,99% Dark &amp; Pure,16-Feb-22,$455 ,96</t>
  </si>
  <si>
    <t>Rafaelita Blaksland,Canada,Spicy Special Slims,02-May-22,"$2,520 ",156</t>
  </si>
  <si>
    <t>Van Tuxwell,India,Eclairs,21-Jul-22,"$10,500 ",106</t>
  </si>
  <si>
    <t>Gunar Cockshoot,Australia,99% Dark &amp; Pure,18-Aug-22,"$7,952 ",235</t>
  </si>
  <si>
    <t>Kaine Padly,USA,85% Dark Bars,22-Jun-22,$483 ,259</t>
  </si>
  <si>
    <t>Camilla Castle,UK,Peanut Butter Cubes,19-Jul-22,"$4,872 ",126</t>
  </si>
  <si>
    <t>Madelene Upcott,UK,Peanut Butter Cubes,12-Aug-22,"$7,756 ",85</t>
  </si>
  <si>
    <t>Madelene Upcott,USA,Choco Coated Almonds,07-Jun-22,"$5,446 ",132</t>
  </si>
  <si>
    <t>Marney O'Breen,Canada,Peanut Butter Cubes,08-Mar-22,"$6,594 ",91</t>
  </si>
  <si>
    <t>Ches Bonnell,Australia,Choco Coated Almonds,08-Apr-22,"$1,470 ",167</t>
  </si>
  <si>
    <t>Curtice Advani,Canada,Eclairs,06-May-22,$721 ,203</t>
  </si>
  <si>
    <t>Roddy Speechley,India,Drinking Coco,31-May-22,"$4,494 ",11</t>
  </si>
  <si>
    <t>Van Tuxwell,Australia,Mint Chip Choco,13-Jan-22,"$2,674 ",295</t>
  </si>
  <si>
    <t>Dennison Crosswaite,USA,70% Dark Bites,15-Mar-22,$658 ,77</t>
  </si>
  <si>
    <t>Andria Kimpton,Canada,Peanut Butter Cubes,16-Feb-22,"$1,127 ",319</t>
  </si>
  <si>
    <t>Gigi Bohling,USA,70% Dark Bites,14-Jan-22,"$7,364 ",196</t>
  </si>
  <si>
    <t>Rafaelita Blaksland,Australia,White Choc,21-Mar-22,"$6,818 ",102</t>
  </si>
  <si>
    <t>Roddy Speechley,Canada,Drinking Coco,17-May-22,"$6,776 ",312</t>
  </si>
  <si>
    <t>Camilla Castle,New Zealand,85% Dark Bars,08-Aug-22,"$15,099 ",55</t>
  </si>
  <si>
    <t>Madelene Upcott,Canada,Milk Bars,26-Apr-22,"$3,612 ",82</t>
  </si>
  <si>
    <t>Madelene Upcott,Australia,70% Dark Bites,15-Apr-22,"$3,710 ",260</t>
  </si>
  <si>
    <t>Oby Sorrel,Canada,Eclairs,19-May-22,"$6,111 ",591</t>
  </si>
  <si>
    <t>Dennison Crosswaite,Canada,Drinking Coco,10-Jan-22,"$2,702 ",24</t>
  </si>
  <si>
    <t>Mallorie Waber,New Zealand,After Nines,04-May-22,$483 ,228</t>
  </si>
  <si>
    <t>Roddy Speechley,Canada,White Choc,05-Apr-22,"$5,887 ",268</t>
  </si>
  <si>
    <t>Andria Kimpton,India,After Nines,17-Jan-22,$952 ,68</t>
  </si>
  <si>
    <t>Roddy Speechley,India,Spicy Special Slims,22-Mar-22,"$10,647 ",173</t>
  </si>
  <si>
    <t>Dotty Strutley,Australia,White Choc,05-Jul-22,"$6,055 ",93</t>
  </si>
  <si>
    <t>Oby Sorrel,Canada,Orange Choco,27-Apr-22,"$8,757 ",338</t>
  </si>
  <si>
    <t>Kaine Padly,Canada,Almond Choco,12-Aug-22,"$6,055 ",73</t>
  </si>
  <si>
    <t>Jan Morforth,UK,Baker's Choco Chips,11-Mar-22,$721 ,251</t>
  </si>
  <si>
    <t>Jehu Rudeforth,UK,Fruit &amp; Nut Bars,13-May-22,"$8,589 ",229</t>
  </si>
  <si>
    <t>Dennison Crosswaite,USA,Smooth Sliky Salty,12-May-22,"$11,781 ",91</t>
  </si>
  <si>
    <t>Brien Boise,USA,Raspberry Choco,12-Jan-22,$672 ,194</t>
  </si>
  <si>
    <t>Madelene Upcott,New Zealand,Milk Bars,29-Mar-22,"$12,558 ",403</t>
  </si>
  <si>
    <t>Roddy Speechley,India,50% Dark Bites,14-Mar-22,"$8,337 ",12</t>
  </si>
  <si>
    <t>Barr Faughny,New Zealand,99% Dark &amp; Pure,24-May-22,"$8,134 ",195</t>
  </si>
  <si>
    <t>Dennison Crosswaite,Canada,Organic Choco Syrup,28-Jan-22,"$8,491 ",75</t>
  </si>
  <si>
    <t>Beverie Moffet,India,Almond Choco,24-May-22,"$3,066 ",96</t>
  </si>
  <si>
    <t>Brien Boise,Australia,Peanut Butter Cubes,19-Aug-22,$301 ,205</t>
  </si>
  <si>
    <t>Karlen McCaffrey,Australia,Spicy Special Slims,17-May-22,"$4,410 ",323</t>
  </si>
  <si>
    <t>Jehu Rudeforth,USA,White Choc,07-Jun-22,"$6,559 ",119</t>
  </si>
  <si>
    <t>Ches Bonnell,Canada,Organic Choco Syrup,26-Jul-22,$574 ,217</t>
  </si>
  <si>
    <t>Dotty Strutley,India,Eclairs,28-Jul-22,"$2,086 ",384</t>
  </si>
  <si>
    <t>Karlen McCaffrey,India,70% Dark Bites,23-May-22,"$5,075 ",344</t>
  </si>
  <si>
    <t>Sales Person</t>
  </si>
  <si>
    <t>Country</t>
  </si>
  <si>
    <t>Product</t>
  </si>
  <si>
    <t>Date</t>
  </si>
  <si>
    <t>Amount</t>
  </si>
  <si>
    <t>Boxes Shipped</t>
  </si>
  <si>
    <t>Jehu Rudeforth</t>
  </si>
  <si>
    <t>UK</t>
  </si>
  <si>
    <t>Mint Chip Choco</t>
  </si>
  <si>
    <t>Van Tuxwell</t>
  </si>
  <si>
    <t>India</t>
  </si>
  <si>
    <t>85% Dark Bars</t>
  </si>
  <si>
    <t>Gigi Bohling</t>
  </si>
  <si>
    <t>Peanut Butter Cubes</t>
  </si>
  <si>
    <t>Jan Morforth</t>
  </si>
  <si>
    <t>Australia</t>
  </si>
  <si>
    <t>Smooth Sliky Salty</t>
  </si>
  <si>
    <t>Oby Sorrel</t>
  </si>
  <si>
    <t>99% Dark &amp; Pure</t>
  </si>
  <si>
    <t>Gunar Cockshoot</t>
  </si>
  <si>
    <t>After Nines</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</si>
  <si>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</si>
  <si>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</si>
  <si>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</si>
  <si>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</si>
  <si>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</si>
  <si>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</si>
  <si>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</si>
  <si>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</si>
  <si>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</si>
  <si>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</si>
  <si>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</si>
  <si>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</si>
  <si>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</si>
  <si>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</si>
  <si>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</si>
  <si>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</si>
  <si>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</si>
  <si>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</si>
  <si>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</si>
  <si>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</si>
  <si>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</si>
  <si>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</si>
  <si>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</si>
  <si>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</si>
  <si>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</si>
  <si>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</si>
  <si>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</si>
  <si>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</si>
  <si>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</si>
  <si>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</si>
  <si>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</si>
  <si>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</si>
  <si>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</si>
  <si>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</si>
  <si>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</si>
  <si>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</si>
  <si>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</si>
  <si>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</si>
  <si>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Count of Sales Person</t>
  </si>
  <si>
    <t>Row Labels</t>
  </si>
  <si>
    <t>Grand Total</t>
  </si>
  <si>
    <t>Jan</t>
  </si>
  <si>
    <t>Feb</t>
  </si>
  <si>
    <t>Mar</t>
  </si>
  <si>
    <t>Apr</t>
  </si>
  <si>
    <t>May</t>
  </si>
  <si>
    <t>Jun</t>
  </si>
  <si>
    <t>Jul</t>
  </si>
  <si>
    <t>Aug</t>
  </si>
  <si>
    <t>Sum of Amount</t>
  </si>
  <si>
    <t>Sum of Boxes Shipped</t>
  </si>
  <si>
    <t>Average Revenue per Transaction</t>
  </si>
  <si>
    <t>1. Sales Overview</t>
  </si>
  <si>
    <t>This report present a detailed business analysis of chocolate store 2022 sales performance.</t>
  </si>
  <si>
    <t>The analysis draws insights from transaction level data containing product information, customer segments, and geographic distribution to evaluate revenue patterns, market berhavior, and sales effectiveness.</t>
  </si>
  <si>
    <t>In 2022, the store generated a total revenue of $63.945,805, across 1.094 recorded transactions.</t>
  </si>
  <si>
    <t>Each transaction produced an average revenue per sale $58,45, showing consistent performance and profitability across customer segments.</t>
  </si>
  <si>
    <t>Key Insights:</t>
  </si>
  <si>
    <t>Sales operations maintained healthy performance throughout the year.</t>
  </si>
  <si>
    <t>Wholesale contributed higher revenue per transaction, retail contributed higher count.</t>
  </si>
  <si>
    <t>Customer diversification reduced dependency on a single sales channel.</t>
  </si>
  <si>
    <t>Recommendations:</t>
  </si>
  <si>
    <t>Strengthen loyalty programs for retail customers to sustain steady cash flow.</t>
  </si>
  <si>
    <t>Introduce bulk purchase discounts or seasonal packages for wholesale buyers.</t>
  </si>
  <si>
    <t>The sales data indicates that both retail and wholesale customers contributed significantly to total revenue.</t>
  </si>
  <si>
    <t>Wholesale buyers made larger purchases in fewer transactions, while retail customers drove volume through frequent smaller orders.</t>
  </si>
  <si>
    <t>2. Monthly Sales Trend</t>
  </si>
  <si>
    <t>Sales showed dynamic movement throughout 2022, with June recording the highest revenue and shipment volume, indicating a mid-year surge in customer demand.</t>
  </si>
  <si>
    <t>This may be driven by festive gifting periods or mid-year promotions.</t>
  </si>
  <si>
    <t>Insights:</t>
  </si>
  <si>
    <t>The overall pattern suggests recurring seasonal buying behavior.</t>
  </si>
  <si>
    <t>Plan marketing campaigns and restocking activities ahead of mid-year demand spikes.</t>
  </si>
  <si>
    <t>Maintain moderate stock during slower months to reduce holding costs.</t>
  </si>
  <si>
    <t>Launch “Mid-Year Chocolate Fair” promotions to amplify natural peaks.</t>
  </si>
  <si>
    <t>3. Geographic and Segment Performance</t>
  </si>
  <si>
    <t>Across six countries, Australia remains the top-performing market, contributing the largest share of total revenue.</t>
  </si>
  <si>
    <t>The UK and India also demonstrate strong growth potential, while Canada and New Zealand remain smaller but steady contributors.</t>
  </si>
  <si>
    <t>Customer Segment Breakdown:</t>
  </si>
  <si>
    <t>Wholesale: Generates high-value transactions with strong profitability per order.</t>
  </si>
  <si>
    <t>Retail: Provides steady volume, higher frequency, and stronger brand visibility.</t>
  </si>
  <si>
    <t>Maintain strong retail presence in Australia while expanding wholesale partnerships in emerging markets (UK, India).</t>
  </si>
  <si>
    <t>4. Product and Category Insights</t>
  </si>
  <si>
    <t>In contrast, darker and niche-flavored chocolates like 70% Dark Bites saw limited uptake.</t>
  </si>
  <si>
    <t>By category, Milk and White chocolates dominated total sales volume, indicating customer preference for smoother and sweeter flavors, while Dark chocolates attracted a smaller but loyal niche.</t>
  </si>
  <si>
    <t>Focus product marketing and displays on top 5 bestsellers.</t>
  </si>
  <si>
    <t>Launch gift boxes mixing milk, white, and dark chocolates to reach broader audiences.</t>
  </si>
  <si>
    <t>Sales started strong in January, dropped significantly in February, and rebounded in March before reaching the annual peak in June.</t>
  </si>
  <si>
    <t>Tailor campaigns to local consumer behaviors like family-oriented promotions in Australia, festive bundles in India.</t>
  </si>
  <si>
    <t>Reposition dark chocolate variants with wellness-focused branding (antioxidant-rich or  low-sugar).</t>
  </si>
  <si>
    <t>However, the highest total revenue came from top spenders, particularly within the wholesale customer segment, indicating that a smaller number of high-value purchases significantly contributed to overall performance.</t>
  </si>
  <si>
    <t>Recognize both top transaction performers and high-revenue contributors through distinct incentive programs.</t>
  </si>
  <si>
    <t>Encourage knowledge sharing among top sellers to replicate effective sales approaches across the team.</t>
  </si>
  <si>
    <t>Maintain strategic investment in Australia’s sales operations while expanding opportunities in the UK and India through localized promotions and customer engagement initiatives.</t>
  </si>
  <si>
    <t>Chocolate Sales Perfomance Analysis - 2022</t>
  </si>
  <si>
    <t>Top performing salespersons, Kelci Walkden, Bien Boise, Van Tuxwell, Beverie Moffet, and Oby Sorrel, recorded the highest number of transactions, showing strong consistency and customer engagement across multiple sales.</t>
  </si>
  <si>
    <t>Among 22 chocolate products, the best performers is 50% Dark Bites, Eclairs,  Smooth Silky Salty, White Chocolate, and Drinking Choco, which consistently led revenue across multiple markets.</t>
  </si>
  <si>
    <t>5. Sales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</si>
</sst>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2" formatCode="_-&quot;Rp&quot;* #,##0_-;\-&quot;Rp&quot;* #,##0_-;_-&quot;Rp&quot;* &quot;-&quot;_-;_-@_-"/>
    <numFmt numFmtId="164" formatCode="[$$-409]#,##0.000"/>
    <numFmt numFmtId="165" formatCode="[$$-409]#,##0.00000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2" fontId="1" fillId="0" borderId="0" applyFont="0" applyFill="0" applyBorder="0" applyAlignment="0" applyProtection="0"/>
  </cellStyleXfs>
  <cellXfs count="22">
    <xf numFmtId="0" fontId="0" fillId="0" borderId="0" xfId="0"/>
    <xf numFmtId="0" fontId="16" fillId="0" borderId="0" xfId="0" applyFont="1"/>
    <xf numFmtId="49" fontId="0" fillId="0" borderId="0" xfId="0" applyNumberFormat="1"/>
    <xf numFmtId="1" fontId="0" fillId="0" borderId="0" xfId="0" applyNumberFormat="1"/>
    <xf numFmtId="14" fontId="0" fillId="0" borderId="0" xfId="0" applyNumberFormat="1" applyAlignment="1">
      <alignment horizontal="center" vertical="center"/>
    </xf>
    <xf numFmtId="1" fontId="0" fillId="0" borderId="0" xfId="0" applyNumberFormat="1" applyAlignment="1">
      <alignment horizontal="center" vertical="center"/>
    </xf>
    <xf numFmtId="49" fontId="16" fillId="0" borderId="10" xfId="0" applyNumberFormat="1" applyFont="1" applyBorder="1" applyAlignment="1">
      <alignment horizontal="center" vertical="center"/>
    </xf>
    <xf numFmtId="14" fontId="16" fillId="0" borderId="10" xfId="0" applyNumberFormat="1" applyFont="1" applyBorder="1" applyAlignment="1">
      <alignment horizontal="center" vertical="center"/>
    </xf>
    <xf numFmtId="1" fontId="16" fillId="0" borderId="10" xfId="0" applyNumberFormat="1" applyFont="1" applyBorder="1" applyAlignment="1">
      <alignment horizontal="center" vertical="center"/>
    </xf>
    <xf numFmtId="49" fontId="0" fillId="0" borderId="10" xfId="0" applyNumberFormat="1" applyBorder="1"/>
    <xf numFmtId="14" fontId="0" fillId="0" borderId="10" xfId="0" applyNumberFormat="1" applyBorder="1" applyAlignment="1">
      <alignment horizontal="center" vertical="center"/>
    </xf>
    <xf numFmtId="1" fontId="0" fillId="0" borderId="10" xfId="0" applyNumberFormat="1" applyBorder="1" applyAlignment="1">
      <alignment horizontal="center" vertical="center"/>
    </xf>
    <xf numFmtId="0" fontId="0" fillId="0" borderId="0" xfId="0" pivotButton="1"/>
    <xf numFmtId="0" fontId="0" fillId="0" borderId="0" xfId="0" applyAlignment="1">
      <alignment horizontal="left"/>
    </xf>
    <xf numFmtId="164" fontId="16" fillId="0" borderId="10" xfId="0" applyNumberFormat="1" applyFont="1" applyBorder="1" applyAlignment="1">
      <alignment horizontal="center" vertical="center"/>
    </xf>
    <xf numFmtId="164" fontId="0" fillId="0" borderId="10" xfId="42" applyNumberFormat="1" applyFont="1" applyBorder="1" applyAlignment="1">
      <alignment horizontal="center" vertical="center"/>
    </xf>
    <xf numFmtId="164" fontId="0" fillId="0" borderId="10" xfId="0" applyNumberFormat="1" applyBorder="1" applyAlignment="1">
      <alignment horizontal="center" vertical="center"/>
    </xf>
    <xf numFmtId="164" fontId="0" fillId="0" borderId="0" xfId="0" applyNumberFormat="1" applyAlignment="1">
      <alignment horizontal="center" vertical="center"/>
    </xf>
    <xf numFmtId="164" fontId="0" fillId="0" borderId="0" xfId="0" applyNumberFormat="1"/>
    <xf numFmtId="165" fontId="0" fillId="0" borderId="0" xfId="0" applyNumberFormat="1"/>
    <xf numFmtId="0" fontId="0" fillId="0" borderId="0" xfId="0" applyNumberFormat="1"/>
    <xf numFmtId="0" fontId="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0]" xfId="42" builtinId="7"/>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ill>
        <patternFill>
          <bgColor rgb="FF4F200D"/>
        </patternFill>
      </fill>
    </dxf>
    <dxf>
      <font>
        <b/>
        <sz val="11"/>
        <color theme="1"/>
      </font>
      <fill>
        <patternFill>
          <bgColor rgb="FF4F200D"/>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color rgb="FF4F200D"/>
      </font>
      <fill>
        <patternFill patternType="solid">
          <fgColor rgb="FFFF9A00"/>
          <bgColor theme="0"/>
        </patternFill>
      </fill>
      <border diagonalUp="0" diagonalDown="0">
        <left/>
        <right/>
        <top/>
        <bottom/>
        <vertical/>
        <horizontal/>
      </border>
    </dxf>
  </dxfs>
  <tableStyles count="4" defaultTableStyle="TableStyleMedium2" defaultPivotStyle="PivotStyleLight16">
    <tableStyle name="Slicer Style 1" pivot="0" table="0" count="3" xr9:uid="{1587BFE8-6EB0-4D21-BE85-7FE0753EA3CA}">
      <tableStyleElement type="headerRow" dxfId="0"/>
    </tableStyle>
    <tableStyle name="Slicer Style 3" pivot="0" table="0" count="1" xr9:uid="{D1C1415F-D862-4036-B1AC-0DBA3604CFE1}">
      <tableStyleElement type="wholeTable" dxfId="5"/>
    </tableStyle>
    <tableStyle name="Timeline Style 1" pivot="0" table="0" count="8" xr9:uid="{35B4021F-D2A1-44F2-88C5-962930FBA93A}">
      <tableStyleElement type="wholeTable" dxfId="4"/>
      <tableStyleElement type="headerRow" dxfId="3"/>
    </tableStyle>
    <tableStyle name="Timeline Style 2" pivot="0" table="0" count="9" xr9:uid="{80CE0241-8AA1-490F-9EA7-CA86AB0B9322}">
      <tableStyleElement type="wholeTable" dxfId="2"/>
      <tableStyleElement type="headerRow" dxfId="1"/>
    </tableStyle>
  </tableStyles>
  <colors>
    <mruColors>
      <color rgb="FF4F200D"/>
      <color rgb="FFFFD93D"/>
      <color rgb="FFFF9A00"/>
    </mruColors>
  </colors>
  <extLst>
    <ext xmlns:x14="http://schemas.microsoft.com/office/spreadsheetml/2009/9/main" uri="{46F421CA-312F-682f-3DD2-61675219B42D}">
      <x14:dxfs count="2">
        <dxf>
          <fill>
            <patternFill>
              <bgColor rgb="FFFFD93D"/>
            </patternFill>
          </fill>
        </dxf>
        <dxf>
          <fill>
            <patternFill>
              <bgColor rgb="FFFF9A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 type="selectedItemWithData" dxfId="1"/>
          </x14:slicerStyleElements>
        </x14:slicerStyle>
        <x14:slicerStyle name="Slicer Style 3"/>
      </x14:slicerStyles>
    </ext>
    <ext xmlns:x15="http://schemas.microsoft.com/office/spreadsheetml/2010/11/main" uri="{A0A4C193-F2C1-4fcb-8827-314CF55A85BB}">
      <x15:dxfs count="13">
        <dxf>
          <fill>
            <patternFill>
              <bgColor theme="0"/>
            </patternFill>
          </fill>
        </dxf>
        <dxf>
          <font>
            <sz val="9"/>
            <color rgb="FF4F200D"/>
            <name val="Aptos Narrow"/>
            <family val="2"/>
            <scheme val="minor"/>
          </font>
        </dxf>
        <dxf>
          <font>
            <sz val="9"/>
            <color rgb="FF4F200D"/>
            <name val="Aptos Narrow"/>
            <family val="2"/>
            <scheme val="minor"/>
          </font>
        </dxf>
        <dxf>
          <font>
            <sz val="9"/>
            <color rgb="FF4F200D"/>
            <name val="Aptos Narrow"/>
            <family val="2"/>
            <scheme val="minor"/>
          </font>
        </dxf>
        <dxf>
          <font>
            <sz val="10"/>
            <color rgb="FF4F200D"/>
            <name val="Aptos Narrow"/>
            <family val="2"/>
            <scheme val="minor"/>
          </font>
        </dxf>
        <dxf>
          <fill>
            <patternFill patternType="solid">
              <fgColor theme="0" tint="-0.14996795556505021"/>
              <bgColor rgb="FFFFD93D"/>
            </patternFill>
          </fill>
        </dxf>
        <dxf>
          <fill>
            <patternFill patternType="solid">
              <fgColor theme="0"/>
              <bgColor rgb="FFFF9A0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rgb="FFFFD93D"/>
            </patternFill>
          </fill>
        </dxf>
        <dxf>
          <fill>
            <patternFill patternType="solid">
              <fgColor theme="0"/>
              <bgColor rgb="FFFF9A0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0"/>
            <x15:timelineStyleElement type="timeLevel" dxfId="9"/>
            <x15:timelineStyleElement type="periodLabel1" dxfId="8"/>
            <x15:timelineStyleElement type="periodLabel2" dxfId="7"/>
            <x15:timelineStyleElement type="selectedTimeBlock" dxfId="12"/>
            <x15:timelineStyleElement type="unselectedTimeBlock" dxfId="11"/>
          </x15:timelineStyleElements>
        </x15:timelineStyle>
        <x15:timelineStyle name="Timeline Style 2">
          <x15:timelineStyleElements>
            <x15:timelineStyleElement type="selectionLabel" dxfId="4"/>
            <x15:timelineStyleElement type="timeLevel" dxfId="3"/>
            <x15:timelineStyleElement type="periodLabel1" dxfId="2"/>
            <x15:timelineStyleElement type="periodLabel2" dxfId="1"/>
            <x15:timelineStyleElement type="selectedTimeBlock" dxfId="6"/>
            <x15:timelineStyleElement type="unselectedTimeBlock" dxfId="5"/>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Analysis.xlsx]pivot_tabel!PivotTable8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pivot_tabel!$E$1</c:f>
              <c:strCache>
                <c:ptCount val="1"/>
                <c:pt idx="0">
                  <c:v>Total</c:v>
                </c:pt>
              </c:strCache>
            </c:strRef>
          </c:tx>
          <c:spPr>
            <a:ln w="28575" cap="rnd">
              <a:solidFill>
                <a:schemeClr val="accent1"/>
              </a:solidFill>
              <a:round/>
            </a:ln>
            <a:effectLst/>
          </c:spPr>
          <c:marker>
            <c:symbol val="none"/>
          </c:marker>
          <c:cat>
            <c:strRef>
              <c:f>pivot_tabel!$D$2:$D$10</c:f>
              <c:strCache>
                <c:ptCount val="8"/>
                <c:pt idx="0">
                  <c:v>Jan</c:v>
                </c:pt>
                <c:pt idx="1">
                  <c:v>Feb</c:v>
                </c:pt>
                <c:pt idx="2">
                  <c:v>Mar</c:v>
                </c:pt>
                <c:pt idx="3">
                  <c:v>Apr</c:v>
                </c:pt>
                <c:pt idx="4">
                  <c:v>May</c:v>
                </c:pt>
                <c:pt idx="5">
                  <c:v>Jun</c:v>
                </c:pt>
                <c:pt idx="6">
                  <c:v>Jul</c:v>
                </c:pt>
                <c:pt idx="7">
                  <c:v>Aug</c:v>
                </c:pt>
              </c:strCache>
            </c:strRef>
          </c:cat>
          <c:val>
            <c:numRef>
              <c:f>pivot_tabel!$E$2:$E$10</c:f>
              <c:numCache>
                <c:formatCode>[$$-409]#,##0.000</c:formatCode>
                <c:ptCount val="8"/>
                <c:pt idx="0">
                  <c:v>7602.391999999998</c:v>
                </c:pt>
                <c:pt idx="1">
                  <c:v>4300.7719999999999</c:v>
                </c:pt>
                <c:pt idx="2">
                  <c:v>10483.738999999996</c:v>
                </c:pt>
                <c:pt idx="3">
                  <c:v>4009.7120000000018</c:v>
                </c:pt>
                <c:pt idx="4">
                  <c:v>7081.5569999999971</c:v>
                </c:pt>
                <c:pt idx="5">
                  <c:v>11816.182000000001</c:v>
                </c:pt>
                <c:pt idx="6">
                  <c:v>8621.5989999999983</c:v>
                </c:pt>
                <c:pt idx="7">
                  <c:v>10029.852000000003</c:v>
                </c:pt>
              </c:numCache>
            </c:numRef>
          </c:val>
          <c:smooth val="0"/>
          <c:extLst>
            <c:ext xmlns:c16="http://schemas.microsoft.com/office/drawing/2014/chart" uri="{C3380CC4-5D6E-409C-BE32-E72D297353CC}">
              <c16:uniqueId val="{00000000-C6C1-44C2-9ACC-7B9D51BAE09F}"/>
            </c:ext>
          </c:extLst>
        </c:ser>
        <c:dLbls>
          <c:showLegendKey val="0"/>
          <c:showVal val="0"/>
          <c:showCatName val="0"/>
          <c:showSerName val="0"/>
          <c:showPercent val="0"/>
          <c:showBubbleSize val="0"/>
        </c:dLbls>
        <c:smooth val="0"/>
        <c:axId val="1125800000"/>
        <c:axId val="1125784640"/>
      </c:lineChart>
      <c:catAx>
        <c:axId val="112580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784640"/>
        <c:crosses val="autoZero"/>
        <c:auto val="1"/>
        <c:lblAlgn val="ctr"/>
        <c:lblOffset val="100"/>
        <c:noMultiLvlLbl val="0"/>
      </c:catAx>
      <c:valAx>
        <c:axId val="1125784640"/>
        <c:scaling>
          <c:orientation val="minMax"/>
        </c:scaling>
        <c:delete val="0"/>
        <c:axPos val="l"/>
        <c:majorGridlines>
          <c:spPr>
            <a:ln w="9525" cap="flat" cmpd="sng" algn="ctr">
              <a:solidFill>
                <a:schemeClr val="tx1">
                  <a:lumMod val="15000"/>
                  <a:lumOff val="85000"/>
                </a:schemeClr>
              </a:solidFill>
              <a:round/>
            </a:ln>
            <a:effectLst/>
          </c:spPr>
        </c:majorGridlines>
        <c:numFmt formatCode="[$$-409]#,##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80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Analysis.xlsx]pivot_tabel!PivotTable9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pivot_tabel!$E$12</c:f>
              <c:strCache>
                <c:ptCount val="1"/>
                <c:pt idx="0">
                  <c:v>Total</c:v>
                </c:pt>
              </c:strCache>
            </c:strRef>
          </c:tx>
          <c:spPr>
            <a:ln w="28575" cap="rnd">
              <a:solidFill>
                <a:schemeClr val="accent1"/>
              </a:solidFill>
              <a:round/>
            </a:ln>
            <a:effectLst/>
          </c:spPr>
          <c:marker>
            <c:symbol val="none"/>
          </c:marker>
          <c:cat>
            <c:strRef>
              <c:f>pivot_tabel!$D$13:$D$21</c:f>
              <c:strCache>
                <c:ptCount val="8"/>
                <c:pt idx="0">
                  <c:v>Jan</c:v>
                </c:pt>
                <c:pt idx="1">
                  <c:v>Feb</c:v>
                </c:pt>
                <c:pt idx="2">
                  <c:v>Mar</c:v>
                </c:pt>
                <c:pt idx="3">
                  <c:v>Apr</c:v>
                </c:pt>
                <c:pt idx="4">
                  <c:v>May</c:v>
                </c:pt>
                <c:pt idx="5">
                  <c:v>Jun</c:v>
                </c:pt>
                <c:pt idx="6">
                  <c:v>Jul</c:v>
                </c:pt>
                <c:pt idx="7">
                  <c:v>Aug</c:v>
                </c:pt>
              </c:strCache>
            </c:strRef>
          </c:cat>
          <c:val>
            <c:numRef>
              <c:f>pivot_tabel!$E$13:$E$21</c:f>
              <c:numCache>
                <c:formatCode>0</c:formatCode>
                <c:ptCount val="8"/>
                <c:pt idx="0">
                  <c:v>27535</c:v>
                </c:pt>
                <c:pt idx="1">
                  <c:v>18015</c:v>
                </c:pt>
                <c:pt idx="2">
                  <c:v>19561</c:v>
                </c:pt>
                <c:pt idx="3">
                  <c:v>21003</c:v>
                </c:pt>
                <c:pt idx="4">
                  <c:v>21856</c:v>
                </c:pt>
                <c:pt idx="5">
                  <c:v>26260</c:v>
                </c:pt>
                <c:pt idx="6">
                  <c:v>22876</c:v>
                </c:pt>
                <c:pt idx="7">
                  <c:v>19901</c:v>
                </c:pt>
              </c:numCache>
            </c:numRef>
          </c:val>
          <c:smooth val="0"/>
          <c:extLst>
            <c:ext xmlns:c16="http://schemas.microsoft.com/office/drawing/2014/chart" uri="{C3380CC4-5D6E-409C-BE32-E72D297353CC}">
              <c16:uniqueId val="{00000000-867A-49B9-9C38-2947C25E7D06}"/>
            </c:ext>
          </c:extLst>
        </c:ser>
        <c:dLbls>
          <c:showLegendKey val="0"/>
          <c:showVal val="0"/>
          <c:showCatName val="0"/>
          <c:showSerName val="0"/>
          <c:showPercent val="0"/>
          <c:showBubbleSize val="0"/>
        </c:dLbls>
        <c:smooth val="0"/>
        <c:axId val="1125798080"/>
        <c:axId val="1125804320"/>
      </c:lineChart>
      <c:catAx>
        <c:axId val="112579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804320"/>
        <c:crosses val="autoZero"/>
        <c:auto val="1"/>
        <c:lblAlgn val="ctr"/>
        <c:lblOffset val="100"/>
        <c:noMultiLvlLbl val="0"/>
      </c:catAx>
      <c:valAx>
        <c:axId val="1125804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79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[Chocolate Sales Analysis.xlsx]pivot_tabel!PivotTable11</c:name>
    <c:fmtId val="0"/>
  </c:pivotSource>
  <c:chart>
    <c:autoTitleDeleted val="1"/>
    <c:pivotFmts>
      <c:pivotFmt>
        <c:idx val="0"/>
        <c:spPr>
          <a:solidFill>
            <a:schemeClr val="accent2"/>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pivot_tabel!$O$1</c:f>
              <c:strCache>
                <c:ptCount val="1"/>
                <c:pt idx="0">
                  <c:v>Total</c:v>
                </c:pt>
              </c:strCache>
            </c:strRef>
          </c:tx>
          <c:dPt>
            <c:idx val="0"/>
            <c:bubble3D val="0"/>
            <c:spPr>
              <a:solidFill>
                <a:schemeClr val="accent2">
                  <a:shade val="50000"/>
                </a:schemeClr>
              </a:solidFill>
              <a:ln w="25400">
                <a:solidFill>
                  <a:schemeClr val="lt1"/>
                </a:solidFill>
              </a:ln>
              <a:effectLst/>
              <a:sp3d contourW="25400">
                <a:contourClr>
                  <a:schemeClr val="lt1"/>
                </a:contourClr>
              </a:sp3d>
            </c:spPr>
          </c:dPt>
          <c:dPt>
            <c:idx val="1"/>
            <c:bubble3D val="0"/>
            <c:spPr>
              <a:solidFill>
                <a:schemeClr val="accent2">
                  <a:shade val="70000"/>
                </a:schemeClr>
              </a:solidFill>
              <a:ln w="25400">
                <a:solidFill>
                  <a:schemeClr val="lt1"/>
                </a:solidFill>
              </a:ln>
              <a:effectLst/>
              <a:sp3d contourW="25400">
                <a:contourClr>
                  <a:schemeClr val="lt1"/>
                </a:contourClr>
              </a:sp3d>
            </c:spPr>
          </c:dPt>
          <c:dPt>
            <c:idx val="2"/>
            <c:bubble3D val="0"/>
            <c:spPr>
              <a:solidFill>
                <a:schemeClr val="accent2">
                  <a:shade val="90000"/>
                </a:schemeClr>
              </a:solidFill>
              <a:ln w="25400">
                <a:solidFill>
                  <a:schemeClr val="lt1"/>
                </a:solidFill>
              </a:ln>
              <a:effectLst/>
              <a:sp3d contourW="25400">
                <a:contourClr>
                  <a:schemeClr val="lt1"/>
                </a:contourClr>
              </a:sp3d>
            </c:spPr>
          </c:dPt>
          <c:dPt>
            <c:idx val="3"/>
            <c:bubble3D val="0"/>
            <c:spPr>
              <a:solidFill>
                <a:schemeClr val="accent2">
                  <a:tint val="90000"/>
                </a:schemeClr>
              </a:solidFill>
              <a:ln w="25400">
                <a:solidFill>
                  <a:schemeClr val="lt1"/>
                </a:solidFill>
              </a:ln>
              <a:effectLst/>
              <a:sp3d contourW="25400">
                <a:contourClr>
                  <a:schemeClr val="lt1"/>
                </a:contourClr>
              </a:sp3d>
            </c:spPr>
          </c:dPt>
          <c:dPt>
            <c:idx val="4"/>
            <c:bubble3D val="0"/>
            <c:spPr>
              <a:solidFill>
                <a:schemeClr val="accent2">
                  <a:tint val="70000"/>
                </a:schemeClr>
              </a:solidFill>
              <a:ln w="25400">
                <a:solidFill>
                  <a:schemeClr val="lt1"/>
                </a:solidFill>
              </a:ln>
              <a:effectLst/>
              <a:sp3d contourW="25400">
                <a:contourClr>
                  <a:schemeClr val="lt1"/>
                </a:contourClr>
              </a:sp3d>
            </c:spPr>
          </c:dPt>
          <c:dPt>
            <c:idx val="5"/>
            <c:bubble3D val="0"/>
            <c:spPr>
              <a:solidFill>
                <a:schemeClr val="accent2">
                  <a:tint val="5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pivot_tabel!$N$2:$N$8</c:f>
              <c:strCache>
                <c:ptCount val="6"/>
                <c:pt idx="0">
                  <c:v>Australia</c:v>
                </c:pt>
                <c:pt idx="1">
                  <c:v>India</c:v>
                </c:pt>
                <c:pt idx="2">
                  <c:v>USA</c:v>
                </c:pt>
                <c:pt idx="3">
                  <c:v>UK</c:v>
                </c:pt>
                <c:pt idx="4">
                  <c:v>Canada</c:v>
                </c:pt>
                <c:pt idx="5">
                  <c:v>New Zealand</c:v>
                </c:pt>
              </c:strCache>
            </c:strRef>
          </c:cat>
          <c:val>
            <c:numRef>
              <c:f>pivot_tabel!$O$2:$O$8</c:f>
              <c:numCache>
                <c:formatCode>General</c:formatCode>
                <c:ptCount val="6"/>
                <c:pt idx="0">
                  <c:v>205</c:v>
                </c:pt>
                <c:pt idx="1">
                  <c:v>184</c:v>
                </c:pt>
                <c:pt idx="2">
                  <c:v>179</c:v>
                </c:pt>
                <c:pt idx="3">
                  <c:v>178</c:v>
                </c:pt>
                <c:pt idx="4">
                  <c:v>175</c:v>
                </c:pt>
                <c:pt idx="5">
                  <c:v>173</c:v>
                </c:pt>
              </c:numCache>
            </c:numRef>
          </c:val>
          <c:extLst>
            <c:ext xmlns:c16="http://schemas.microsoft.com/office/drawing/2014/chart" uri="{C3380CC4-5D6E-409C-BE32-E72D297353CC}">
              <c16:uniqueId val="{00000000-583E-45DC-A780-EB3928241C2E}"/>
            </c:ext>
          </c:extLst>
        </c:ser>
        <c:dLbls>
          <c:showLegendKey val="0"/>
          <c:showVal val="1"/>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Analysis.xlsx]pivot_tabel!PivotTable12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pivot_tabel!$T$1</c:f>
              <c:strCache>
                <c:ptCount val="1"/>
                <c:pt idx="0">
                  <c:v>Sum of Amount</c:v>
                </c:pt>
              </c:strCache>
            </c:strRef>
          </c:tx>
          <c:spPr>
            <a:solidFill>
              <a:schemeClr val="accent1"/>
            </a:solidFill>
            <a:ln>
              <a:noFill/>
            </a:ln>
            <a:effectLst/>
          </c:spPr>
          <c:invertIfNegative val="0"/>
          <c:cat>
            <c:strRef>
              <c:f>pivot_tabel!$S$2:$S$24</c:f>
              <c:strCache>
                <c:ptCount val="22"/>
                <c:pt idx="0">
                  <c:v>Choco Coated Almonds</c:v>
                </c:pt>
                <c:pt idx="1">
                  <c:v>Mint Chip Choco</c:v>
                </c:pt>
                <c:pt idx="2">
                  <c:v>Manuka Honey Choco</c:v>
                </c:pt>
                <c:pt idx="3">
                  <c:v>Baker's Choco Chips</c:v>
                </c:pt>
                <c:pt idx="4">
                  <c:v>White Choc</c:v>
                </c:pt>
                <c:pt idx="5">
                  <c:v>Almond Choco</c:v>
                </c:pt>
                <c:pt idx="6">
                  <c:v>99% Dark &amp; Pure</c:v>
                </c:pt>
                <c:pt idx="7">
                  <c:v>85% Dark Bars</c:v>
                </c:pt>
                <c:pt idx="8">
                  <c:v>Caramel Stuffed Bars</c:v>
                </c:pt>
                <c:pt idx="9">
                  <c:v>Smooth Sliky Salty</c:v>
                </c:pt>
                <c:pt idx="10">
                  <c:v>Spicy Special Slims</c:v>
                </c:pt>
                <c:pt idx="11">
                  <c:v>Eclairs</c:v>
                </c:pt>
                <c:pt idx="12">
                  <c:v>70% Dark Bites</c:v>
                </c:pt>
                <c:pt idx="13">
                  <c:v>Peanut Butter Cubes</c:v>
                </c:pt>
                <c:pt idx="14">
                  <c:v>Fruit &amp; Nut Bars</c:v>
                </c:pt>
                <c:pt idx="15">
                  <c:v>After Nines</c:v>
                </c:pt>
                <c:pt idx="16">
                  <c:v>50% Dark Bites</c:v>
                </c:pt>
                <c:pt idx="17">
                  <c:v>Orange Choco</c:v>
                </c:pt>
                <c:pt idx="18">
                  <c:v>Raspberry Choco</c:v>
                </c:pt>
                <c:pt idx="19">
                  <c:v>Drinking Coco</c:v>
                </c:pt>
                <c:pt idx="20">
                  <c:v>Organic Choco Syrup</c:v>
                </c:pt>
                <c:pt idx="21">
                  <c:v>Milk Bars</c:v>
                </c:pt>
              </c:strCache>
            </c:strRef>
          </c:cat>
          <c:val>
            <c:numRef>
              <c:f>pivot_tabel!$T$2:$T$24</c:f>
              <c:numCache>
                <c:formatCode>[$$-409]#,##0.000</c:formatCode>
                <c:ptCount val="22"/>
                <c:pt idx="0">
                  <c:v>290.43700000000007</c:v>
                </c:pt>
                <c:pt idx="1">
                  <c:v>346.90599999999995</c:v>
                </c:pt>
                <c:pt idx="2">
                  <c:v>1254.5609999999995</c:v>
                </c:pt>
                <c:pt idx="3">
                  <c:v>1550.3110000000001</c:v>
                </c:pt>
                <c:pt idx="4">
                  <c:v>1566.9080000000001</c:v>
                </c:pt>
                <c:pt idx="5">
                  <c:v>1676.136</c:v>
                </c:pt>
                <c:pt idx="6">
                  <c:v>1859.2350000000001</c:v>
                </c:pt>
                <c:pt idx="7">
                  <c:v>2376.1500000000005</c:v>
                </c:pt>
                <c:pt idx="8">
                  <c:v>2434.3830000000007</c:v>
                </c:pt>
                <c:pt idx="9">
                  <c:v>2853.1859999999997</c:v>
                </c:pt>
                <c:pt idx="10">
                  <c:v>3013.7309999999998</c:v>
                </c:pt>
                <c:pt idx="11">
                  <c:v>3151.6029999999992</c:v>
                </c:pt>
                <c:pt idx="12">
                  <c:v>3197.6210000000001</c:v>
                </c:pt>
                <c:pt idx="13">
                  <c:v>3471.6919999999996</c:v>
                </c:pt>
                <c:pt idx="14">
                  <c:v>3566.8359999999998</c:v>
                </c:pt>
                <c:pt idx="15">
                  <c:v>4114.4739999999993</c:v>
                </c:pt>
                <c:pt idx="16">
                  <c:v>4145.9039999999995</c:v>
                </c:pt>
                <c:pt idx="17">
                  <c:v>4158.2380000000003</c:v>
                </c:pt>
                <c:pt idx="18">
                  <c:v>4488.5120000000006</c:v>
                </c:pt>
                <c:pt idx="19">
                  <c:v>4578.3289999999997</c:v>
                </c:pt>
                <c:pt idx="20">
                  <c:v>4868.1220000000003</c:v>
                </c:pt>
                <c:pt idx="21">
                  <c:v>4982.529999999997</c:v>
                </c:pt>
              </c:numCache>
            </c:numRef>
          </c:val>
          <c:extLst>
            <c:ext xmlns:c16="http://schemas.microsoft.com/office/drawing/2014/chart" uri="{C3380CC4-5D6E-409C-BE32-E72D297353CC}">
              <c16:uniqueId val="{00000000-6222-446E-8F49-4466BE84597F}"/>
            </c:ext>
          </c:extLst>
        </c:ser>
        <c:ser>
          <c:idx val="1"/>
          <c:order val="1"/>
          <c:tx>
            <c:strRef>
              <c:f>pivot_tabel!$U$1</c:f>
              <c:strCache>
                <c:ptCount val="1"/>
                <c:pt idx="0">
                  <c:v>Sum of Boxes Shipped</c:v>
                </c:pt>
              </c:strCache>
            </c:strRef>
          </c:tx>
          <c:spPr>
            <a:solidFill>
              <a:schemeClr val="accent2"/>
            </a:solidFill>
            <a:ln>
              <a:noFill/>
            </a:ln>
            <a:effectLst/>
          </c:spPr>
          <c:invertIfNegative val="0"/>
          <c:cat>
            <c:strRef>
              <c:f>pivot_tabel!$S$2:$S$24</c:f>
              <c:strCache>
                <c:ptCount val="22"/>
                <c:pt idx="0">
                  <c:v>Choco Coated Almonds</c:v>
                </c:pt>
                <c:pt idx="1">
                  <c:v>Mint Chip Choco</c:v>
                </c:pt>
                <c:pt idx="2">
                  <c:v>Manuka Honey Choco</c:v>
                </c:pt>
                <c:pt idx="3">
                  <c:v>Baker's Choco Chips</c:v>
                </c:pt>
                <c:pt idx="4">
                  <c:v>White Choc</c:v>
                </c:pt>
                <c:pt idx="5">
                  <c:v>Almond Choco</c:v>
                </c:pt>
                <c:pt idx="6">
                  <c:v>99% Dark &amp; Pure</c:v>
                </c:pt>
                <c:pt idx="7">
                  <c:v>85% Dark Bars</c:v>
                </c:pt>
                <c:pt idx="8">
                  <c:v>Caramel Stuffed Bars</c:v>
                </c:pt>
                <c:pt idx="9">
                  <c:v>Smooth Sliky Salty</c:v>
                </c:pt>
                <c:pt idx="10">
                  <c:v>Spicy Special Slims</c:v>
                </c:pt>
                <c:pt idx="11">
                  <c:v>Eclairs</c:v>
                </c:pt>
                <c:pt idx="12">
                  <c:v>70% Dark Bites</c:v>
                </c:pt>
                <c:pt idx="13">
                  <c:v>Peanut Butter Cubes</c:v>
                </c:pt>
                <c:pt idx="14">
                  <c:v>Fruit &amp; Nut Bars</c:v>
                </c:pt>
                <c:pt idx="15">
                  <c:v>After Nines</c:v>
                </c:pt>
                <c:pt idx="16">
                  <c:v>50% Dark Bites</c:v>
                </c:pt>
                <c:pt idx="17">
                  <c:v>Orange Choco</c:v>
                </c:pt>
                <c:pt idx="18">
                  <c:v>Raspberry Choco</c:v>
                </c:pt>
                <c:pt idx="19">
                  <c:v>Drinking Coco</c:v>
                </c:pt>
                <c:pt idx="20">
                  <c:v>Organic Choco Syrup</c:v>
                </c:pt>
                <c:pt idx="21">
                  <c:v>Milk Bars</c:v>
                </c:pt>
              </c:strCache>
            </c:strRef>
          </c:cat>
          <c:val>
            <c:numRef>
              <c:f>pivot_tabel!$U$2:$U$24</c:f>
              <c:numCache>
                <c:formatCode>0</c:formatCode>
                <c:ptCount val="22"/>
                <c:pt idx="0">
                  <c:v>6464</c:v>
                </c:pt>
                <c:pt idx="1">
                  <c:v>8207</c:v>
                </c:pt>
                <c:pt idx="2">
                  <c:v>7781</c:v>
                </c:pt>
                <c:pt idx="3">
                  <c:v>6998</c:v>
                </c:pt>
                <c:pt idx="4">
                  <c:v>8240</c:v>
                </c:pt>
                <c:pt idx="5">
                  <c:v>6736</c:v>
                </c:pt>
                <c:pt idx="6">
                  <c:v>8127</c:v>
                </c:pt>
                <c:pt idx="7">
                  <c:v>7793</c:v>
                </c:pt>
                <c:pt idx="8">
                  <c:v>8717</c:v>
                </c:pt>
                <c:pt idx="9">
                  <c:v>8810</c:v>
                </c:pt>
                <c:pt idx="10">
                  <c:v>8685</c:v>
                </c:pt>
                <c:pt idx="11">
                  <c:v>8757</c:v>
                </c:pt>
                <c:pt idx="12">
                  <c:v>8015</c:v>
                </c:pt>
                <c:pt idx="13">
                  <c:v>8304</c:v>
                </c:pt>
                <c:pt idx="14">
                  <c:v>7738</c:v>
                </c:pt>
                <c:pt idx="15">
                  <c:v>8257</c:v>
                </c:pt>
                <c:pt idx="16">
                  <c:v>9792</c:v>
                </c:pt>
                <c:pt idx="17">
                  <c:v>7732</c:v>
                </c:pt>
                <c:pt idx="18">
                  <c:v>7115</c:v>
                </c:pt>
                <c:pt idx="19">
                  <c:v>8660</c:v>
                </c:pt>
                <c:pt idx="20">
                  <c:v>7749</c:v>
                </c:pt>
                <c:pt idx="21">
                  <c:v>8330</c:v>
                </c:pt>
              </c:numCache>
            </c:numRef>
          </c:val>
          <c:extLst>
            <c:ext xmlns:c16="http://schemas.microsoft.com/office/drawing/2014/chart" uri="{C3380CC4-5D6E-409C-BE32-E72D297353CC}">
              <c16:uniqueId val="{00000001-6222-446E-8F49-4466BE84597F}"/>
            </c:ext>
          </c:extLst>
        </c:ser>
        <c:dLbls>
          <c:showLegendKey val="0"/>
          <c:showVal val="0"/>
          <c:showCatName val="0"/>
          <c:showSerName val="0"/>
          <c:showPercent val="0"/>
          <c:showBubbleSize val="0"/>
        </c:dLbls>
        <c:gapWidth val="182"/>
        <c:axId val="1340742495"/>
        <c:axId val="1340729055"/>
      </c:barChart>
      <c:catAx>
        <c:axId val="1340742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729055"/>
        <c:crosses val="autoZero"/>
        <c:auto val="1"/>
        <c:lblAlgn val="ctr"/>
        <c:lblOffset val="100"/>
        <c:noMultiLvlLbl val="0"/>
      </c:catAx>
      <c:valAx>
        <c:axId val="1340729055"/>
        <c:scaling>
          <c:orientation val="minMax"/>
        </c:scaling>
        <c:delete val="0"/>
        <c:axPos val="b"/>
        <c:majorGridlines>
          <c:spPr>
            <a:ln w="9525" cap="flat" cmpd="sng" algn="ctr">
              <a:solidFill>
                <a:schemeClr val="tx1">
                  <a:lumMod val="15000"/>
                  <a:lumOff val="85000"/>
                </a:schemeClr>
              </a:solidFill>
              <a:round/>
            </a:ln>
            <a:effectLst/>
          </c:spPr>
        </c:majorGridlines>
        <c:numFmt formatCode="[$$-409]#,##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74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Analysis.xlsx]pivot_tabel!PivotTable13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pivot_tabel!$AD$1</c:f>
              <c:strCache>
                <c:ptCount val="1"/>
                <c:pt idx="0">
                  <c:v>Sum of Amount</c:v>
                </c:pt>
              </c:strCache>
            </c:strRef>
          </c:tx>
          <c:spPr>
            <a:solidFill>
              <a:schemeClr val="accent1"/>
            </a:solidFill>
            <a:ln>
              <a:noFill/>
            </a:ln>
            <a:effectLst/>
          </c:spPr>
          <c:invertIfNegative val="0"/>
          <c:cat>
            <c:strRef>
              <c:f>pivot_tabel!$AC$2:$AC$27</c:f>
              <c:strCache>
                <c:ptCount val="25"/>
                <c:pt idx="0">
                  <c:v>Kelci Walkden</c:v>
                </c:pt>
                <c:pt idx="1">
                  <c:v>Curtice Advani</c:v>
                </c:pt>
                <c:pt idx="2">
                  <c:v>Dennison Crosswaite</c:v>
                </c:pt>
                <c:pt idx="3">
                  <c:v>Gigi Bohling</c:v>
                </c:pt>
                <c:pt idx="4">
                  <c:v>Karlen McCaffrey</c:v>
                </c:pt>
                <c:pt idx="5">
                  <c:v>Beverie Moffet</c:v>
                </c:pt>
                <c:pt idx="6">
                  <c:v>Van Tuxwell</c:v>
                </c:pt>
                <c:pt idx="7">
                  <c:v>Andria Kimpton</c:v>
                </c:pt>
                <c:pt idx="8">
                  <c:v>Husein Augar</c:v>
                </c:pt>
                <c:pt idx="9">
                  <c:v>Ches Bonnell</c:v>
                </c:pt>
                <c:pt idx="10">
                  <c:v>Marney O'Breen</c:v>
                </c:pt>
                <c:pt idx="11">
                  <c:v>Rafaelita Blaksland</c:v>
                </c:pt>
                <c:pt idx="12">
                  <c:v>Wilone O'Kielt</c:v>
                </c:pt>
                <c:pt idx="13">
                  <c:v>Gunar Cockshoot</c:v>
                </c:pt>
                <c:pt idx="14">
                  <c:v>Brien Boise</c:v>
                </c:pt>
                <c:pt idx="15">
                  <c:v>Mallorie Waber</c:v>
                </c:pt>
                <c:pt idx="16">
                  <c:v>Jan Morforth</c:v>
                </c:pt>
                <c:pt idx="17">
                  <c:v>Dotty Strutley</c:v>
                </c:pt>
                <c:pt idx="18">
                  <c:v>Camilla Castle</c:v>
                </c:pt>
                <c:pt idx="19">
                  <c:v>Barr Faughny</c:v>
                </c:pt>
                <c:pt idx="20">
                  <c:v>Oby Sorrel</c:v>
                </c:pt>
                <c:pt idx="21">
                  <c:v>Jehu Rudeforth</c:v>
                </c:pt>
                <c:pt idx="22">
                  <c:v>Roddy Speechley</c:v>
                </c:pt>
                <c:pt idx="23">
                  <c:v>Kaine Padly</c:v>
                </c:pt>
                <c:pt idx="24">
                  <c:v>Madelene Upcott</c:v>
                </c:pt>
              </c:strCache>
            </c:strRef>
          </c:cat>
          <c:val>
            <c:numRef>
              <c:f>pivot_tabel!$AD$2:$AD$27</c:f>
              <c:numCache>
                <c:formatCode>[$$-409]#,##0.000</c:formatCode>
                <c:ptCount val="25"/>
                <c:pt idx="0">
                  <c:v>5073.9430000000011</c:v>
                </c:pt>
                <c:pt idx="1">
                  <c:v>4887.7849999999999</c:v>
                </c:pt>
                <c:pt idx="2">
                  <c:v>4830.1259999999993</c:v>
                </c:pt>
                <c:pt idx="3">
                  <c:v>4792.101999999999</c:v>
                </c:pt>
                <c:pt idx="4">
                  <c:v>4699.4149999999991</c:v>
                </c:pt>
                <c:pt idx="5">
                  <c:v>3215.9820000000004</c:v>
                </c:pt>
                <c:pt idx="6">
                  <c:v>3093.3560000000011</c:v>
                </c:pt>
                <c:pt idx="7">
                  <c:v>3047.8979999999997</c:v>
                </c:pt>
                <c:pt idx="8">
                  <c:v>2869.5450000000001</c:v>
                </c:pt>
                <c:pt idx="9">
                  <c:v>2726.492999999999</c:v>
                </c:pt>
                <c:pt idx="10">
                  <c:v>2448.5509999999995</c:v>
                </c:pt>
                <c:pt idx="11">
                  <c:v>2364.0890000000009</c:v>
                </c:pt>
                <c:pt idx="12">
                  <c:v>2348.3110000000001</c:v>
                </c:pt>
                <c:pt idx="13">
                  <c:v>2224.4949999999999</c:v>
                </c:pt>
                <c:pt idx="14">
                  <c:v>2158.9679999999998</c:v>
                </c:pt>
                <c:pt idx="15">
                  <c:v>2088.7020000000002</c:v>
                </c:pt>
                <c:pt idx="16">
                  <c:v>2002.8819999999996</c:v>
                </c:pt>
                <c:pt idx="17">
                  <c:v>1994.8179999999998</c:v>
                </c:pt>
                <c:pt idx="18">
                  <c:v>1504.3069999999998</c:v>
                </c:pt>
                <c:pt idx="19">
                  <c:v>1223.7470000000005</c:v>
                </c:pt>
                <c:pt idx="20">
                  <c:v>1085.8750000000002</c:v>
                </c:pt>
                <c:pt idx="21">
                  <c:v>1053.1429999999998</c:v>
                </c:pt>
                <c:pt idx="22">
                  <c:v>908.40400000000022</c:v>
                </c:pt>
                <c:pt idx="23">
                  <c:v>825.93</c:v>
                </c:pt>
                <c:pt idx="24">
                  <c:v>476.93799999999999</c:v>
                </c:pt>
              </c:numCache>
            </c:numRef>
          </c:val>
          <c:extLst>
            <c:ext xmlns:c16="http://schemas.microsoft.com/office/drawing/2014/chart" uri="{C3380CC4-5D6E-409C-BE32-E72D297353CC}">
              <c16:uniqueId val="{00000000-6B0C-4C14-93E6-700F5CAF891C}"/>
            </c:ext>
          </c:extLst>
        </c:ser>
        <c:ser>
          <c:idx val="1"/>
          <c:order val="1"/>
          <c:tx>
            <c:strRef>
              <c:f>pivot_tabel!$AE$1</c:f>
              <c:strCache>
                <c:ptCount val="1"/>
                <c:pt idx="0">
                  <c:v>Sum of Boxes Shipped</c:v>
                </c:pt>
              </c:strCache>
            </c:strRef>
          </c:tx>
          <c:spPr>
            <a:solidFill>
              <a:schemeClr val="accent2"/>
            </a:solidFill>
            <a:ln>
              <a:noFill/>
            </a:ln>
            <a:effectLst/>
          </c:spPr>
          <c:invertIfNegative val="0"/>
          <c:cat>
            <c:strRef>
              <c:f>pivot_tabel!$AC$2:$AC$27</c:f>
              <c:strCache>
                <c:ptCount val="25"/>
                <c:pt idx="0">
                  <c:v>Kelci Walkden</c:v>
                </c:pt>
                <c:pt idx="1">
                  <c:v>Curtice Advani</c:v>
                </c:pt>
                <c:pt idx="2">
                  <c:v>Dennison Crosswaite</c:v>
                </c:pt>
                <c:pt idx="3">
                  <c:v>Gigi Bohling</c:v>
                </c:pt>
                <c:pt idx="4">
                  <c:v>Karlen McCaffrey</c:v>
                </c:pt>
                <c:pt idx="5">
                  <c:v>Beverie Moffet</c:v>
                </c:pt>
                <c:pt idx="6">
                  <c:v>Van Tuxwell</c:v>
                </c:pt>
                <c:pt idx="7">
                  <c:v>Andria Kimpton</c:v>
                </c:pt>
                <c:pt idx="8">
                  <c:v>Husein Augar</c:v>
                </c:pt>
                <c:pt idx="9">
                  <c:v>Ches Bonnell</c:v>
                </c:pt>
                <c:pt idx="10">
                  <c:v>Marney O'Breen</c:v>
                </c:pt>
                <c:pt idx="11">
                  <c:v>Rafaelita Blaksland</c:v>
                </c:pt>
                <c:pt idx="12">
                  <c:v>Wilone O'Kielt</c:v>
                </c:pt>
                <c:pt idx="13">
                  <c:v>Gunar Cockshoot</c:v>
                </c:pt>
                <c:pt idx="14">
                  <c:v>Brien Boise</c:v>
                </c:pt>
                <c:pt idx="15">
                  <c:v>Mallorie Waber</c:v>
                </c:pt>
                <c:pt idx="16">
                  <c:v>Jan Morforth</c:v>
                </c:pt>
                <c:pt idx="17">
                  <c:v>Dotty Strutley</c:v>
                </c:pt>
                <c:pt idx="18">
                  <c:v>Camilla Castle</c:v>
                </c:pt>
                <c:pt idx="19">
                  <c:v>Barr Faughny</c:v>
                </c:pt>
                <c:pt idx="20">
                  <c:v>Oby Sorrel</c:v>
                </c:pt>
                <c:pt idx="21">
                  <c:v>Jehu Rudeforth</c:v>
                </c:pt>
                <c:pt idx="22">
                  <c:v>Roddy Speechley</c:v>
                </c:pt>
                <c:pt idx="23">
                  <c:v>Kaine Padly</c:v>
                </c:pt>
                <c:pt idx="24">
                  <c:v>Madelene Upcott</c:v>
                </c:pt>
              </c:strCache>
            </c:strRef>
          </c:cat>
          <c:val>
            <c:numRef>
              <c:f>pivot_tabel!$AE$2:$AE$27</c:f>
              <c:numCache>
                <c:formatCode>0</c:formatCode>
                <c:ptCount val="25"/>
                <c:pt idx="0">
                  <c:v>8702</c:v>
                </c:pt>
                <c:pt idx="1">
                  <c:v>7074</c:v>
                </c:pt>
                <c:pt idx="2">
                  <c:v>8767</c:v>
                </c:pt>
                <c:pt idx="3">
                  <c:v>6303</c:v>
                </c:pt>
                <c:pt idx="4">
                  <c:v>9658</c:v>
                </c:pt>
                <c:pt idx="5">
                  <c:v>9214</c:v>
                </c:pt>
                <c:pt idx="6">
                  <c:v>6799</c:v>
                </c:pt>
                <c:pt idx="7">
                  <c:v>6448</c:v>
                </c:pt>
                <c:pt idx="8">
                  <c:v>5849</c:v>
                </c:pt>
                <c:pt idx="9">
                  <c:v>7522</c:v>
                </c:pt>
                <c:pt idx="10">
                  <c:v>8043</c:v>
                </c:pt>
                <c:pt idx="11">
                  <c:v>4297</c:v>
                </c:pt>
                <c:pt idx="12">
                  <c:v>4033</c:v>
                </c:pt>
                <c:pt idx="13">
                  <c:v>6677</c:v>
                </c:pt>
                <c:pt idx="14">
                  <c:v>8102</c:v>
                </c:pt>
                <c:pt idx="15">
                  <c:v>5980</c:v>
                </c:pt>
                <c:pt idx="16">
                  <c:v>7661</c:v>
                </c:pt>
                <c:pt idx="17">
                  <c:v>6853</c:v>
                </c:pt>
                <c:pt idx="18">
                  <c:v>5374</c:v>
                </c:pt>
                <c:pt idx="19">
                  <c:v>6366</c:v>
                </c:pt>
                <c:pt idx="20">
                  <c:v>8608</c:v>
                </c:pt>
                <c:pt idx="21">
                  <c:v>7246</c:v>
                </c:pt>
                <c:pt idx="22">
                  <c:v>6899</c:v>
                </c:pt>
                <c:pt idx="23">
                  <c:v>7253</c:v>
                </c:pt>
                <c:pt idx="24">
                  <c:v>7279</c:v>
                </c:pt>
              </c:numCache>
            </c:numRef>
          </c:val>
          <c:extLst>
            <c:ext xmlns:c16="http://schemas.microsoft.com/office/drawing/2014/chart" uri="{C3380CC4-5D6E-409C-BE32-E72D297353CC}">
              <c16:uniqueId val="{00000001-6B0C-4C14-93E6-700F5CAF891C}"/>
            </c:ext>
          </c:extLst>
        </c:ser>
        <c:dLbls>
          <c:showLegendKey val="0"/>
          <c:showVal val="0"/>
          <c:showCatName val="0"/>
          <c:showSerName val="0"/>
          <c:showPercent val="0"/>
          <c:showBubbleSize val="0"/>
        </c:dLbls>
        <c:gapWidth val="182"/>
        <c:axId val="1340735295"/>
        <c:axId val="1340718975"/>
      </c:barChart>
      <c:catAx>
        <c:axId val="1340735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718975"/>
        <c:crosses val="autoZero"/>
        <c:auto val="1"/>
        <c:lblAlgn val="ctr"/>
        <c:lblOffset val="100"/>
        <c:noMultiLvlLbl val="0"/>
      </c:catAx>
      <c:valAx>
        <c:axId val="1340718975"/>
        <c:scaling>
          <c:orientation val="minMax"/>
        </c:scaling>
        <c:delete val="0"/>
        <c:axPos val="b"/>
        <c:majorGridlines>
          <c:spPr>
            <a:ln w="9525" cap="flat" cmpd="sng" algn="ctr">
              <a:solidFill>
                <a:schemeClr val="tx1">
                  <a:lumMod val="15000"/>
                  <a:lumOff val="85000"/>
                </a:schemeClr>
              </a:solidFill>
              <a:round/>
            </a:ln>
            <a:effectLst/>
          </c:spPr>
        </c:majorGridlines>
        <c:numFmt formatCode="[$$-409]#,##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73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[Chocolate Sales Analysis.xlsx]pivot_tabel!PivotTable1</c:name>
    <c:fmtId val="0"/>
  </c:pivotSource>
  <c:chart>
    <c:autoTitleDeleted val="1"/>
    <c:pivotFmts>
      <c:pivotFmt>
        <c:idx val="0"/>
        <c:spPr>
          <a:solidFill>
            <a:schemeClr val="accent2"/>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pivot_tabel!$AP$1</c:f>
              <c:strCache>
                <c:ptCount val="1"/>
                <c:pt idx="0">
                  <c:v>Total</c:v>
                </c:pt>
              </c:strCache>
            </c:strRef>
          </c:tx>
          <c:dPt>
            <c:idx val="0"/>
            <c:bubble3D val="0"/>
            <c:spPr>
              <a:solidFill>
                <a:schemeClr val="accent2">
                  <a:shade val="50000"/>
                </a:schemeClr>
              </a:solidFill>
              <a:ln w="25400">
                <a:solidFill>
                  <a:schemeClr val="lt1"/>
                </a:solidFill>
              </a:ln>
              <a:effectLst/>
              <a:sp3d contourW="25400">
                <a:contourClr>
                  <a:schemeClr val="lt1"/>
                </a:contourClr>
              </a:sp3d>
            </c:spPr>
          </c:dPt>
          <c:dPt>
            <c:idx val="1"/>
            <c:bubble3D val="0"/>
            <c:spPr>
              <a:solidFill>
                <a:schemeClr val="accent2">
                  <a:shade val="70000"/>
                </a:schemeClr>
              </a:solidFill>
              <a:ln w="25400">
                <a:solidFill>
                  <a:schemeClr val="lt1"/>
                </a:solidFill>
              </a:ln>
              <a:effectLst/>
              <a:sp3d contourW="25400">
                <a:contourClr>
                  <a:schemeClr val="lt1"/>
                </a:contourClr>
              </a:sp3d>
            </c:spPr>
          </c:dPt>
          <c:dPt>
            <c:idx val="2"/>
            <c:bubble3D val="0"/>
            <c:spPr>
              <a:solidFill>
                <a:schemeClr val="accent2">
                  <a:shade val="90000"/>
                </a:schemeClr>
              </a:solidFill>
              <a:ln w="25400">
                <a:solidFill>
                  <a:schemeClr val="lt1"/>
                </a:solidFill>
              </a:ln>
              <a:effectLst/>
              <a:sp3d contourW="25400">
                <a:contourClr>
                  <a:schemeClr val="lt1"/>
                </a:contourClr>
              </a:sp3d>
            </c:spPr>
          </c:dPt>
          <c:dPt>
            <c:idx val="3"/>
            <c:bubble3D val="0"/>
            <c:spPr>
              <a:solidFill>
                <a:schemeClr val="accent2">
                  <a:tint val="90000"/>
                </a:schemeClr>
              </a:solidFill>
              <a:ln w="25400">
                <a:solidFill>
                  <a:schemeClr val="lt1"/>
                </a:solidFill>
              </a:ln>
              <a:effectLst/>
              <a:sp3d contourW="25400">
                <a:contourClr>
                  <a:schemeClr val="lt1"/>
                </a:contourClr>
              </a:sp3d>
            </c:spPr>
          </c:dPt>
          <c:dPt>
            <c:idx val="4"/>
            <c:bubble3D val="0"/>
            <c:spPr>
              <a:solidFill>
                <a:schemeClr val="accent2">
                  <a:tint val="70000"/>
                </a:schemeClr>
              </a:solidFill>
              <a:ln w="25400">
                <a:solidFill>
                  <a:schemeClr val="lt1"/>
                </a:solidFill>
              </a:ln>
              <a:effectLst/>
              <a:sp3d contourW="25400">
                <a:contourClr>
                  <a:schemeClr val="lt1"/>
                </a:contourClr>
              </a:sp3d>
            </c:spPr>
          </c:dPt>
          <c:dPt>
            <c:idx val="5"/>
            <c:bubble3D val="0"/>
            <c:spPr>
              <a:solidFill>
                <a:schemeClr val="accent2">
                  <a:tint val="5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pivot_tabel!$AO$2:$AO$8</c:f>
              <c:strCache>
                <c:ptCount val="6"/>
                <c:pt idx="0">
                  <c:v>Australia</c:v>
                </c:pt>
                <c:pt idx="1">
                  <c:v>Canada</c:v>
                </c:pt>
                <c:pt idx="2">
                  <c:v>India</c:v>
                </c:pt>
                <c:pt idx="3">
                  <c:v>New Zealand</c:v>
                </c:pt>
                <c:pt idx="4">
                  <c:v>UK</c:v>
                </c:pt>
                <c:pt idx="5">
                  <c:v>USA</c:v>
                </c:pt>
              </c:strCache>
            </c:strRef>
          </c:cat>
          <c:val>
            <c:numRef>
              <c:f>pivot_tabel!$AP$2:$AP$8</c:f>
              <c:numCache>
                <c:formatCode>[$$-409]#,##0.000</c:formatCode>
                <c:ptCount val="6"/>
                <c:pt idx="0">
                  <c:v>14312.178999999998</c:v>
                </c:pt>
                <c:pt idx="1">
                  <c:v>9543.3100000000031</c:v>
                </c:pt>
                <c:pt idx="2">
                  <c:v>11066.769</c:v>
                </c:pt>
                <c:pt idx="3">
                  <c:v>8558.8019999999997</c:v>
                </c:pt>
                <c:pt idx="4">
                  <c:v>6807.0309999999999</c:v>
                </c:pt>
                <c:pt idx="5">
                  <c:v>13657.714</c:v>
                </c:pt>
              </c:numCache>
            </c:numRef>
          </c:val>
          <c:extLst>
            <c:ext xmlns:c16="http://schemas.microsoft.com/office/drawing/2014/chart" uri="{C3380CC4-5D6E-409C-BE32-E72D297353CC}">
              <c16:uniqueId val="{00000000-E823-4CF3-A06C-A9FF9653D5C5}"/>
            </c:ext>
          </c:extLst>
        </c:ser>
        <c:dLbls>
          <c:showLegendKey val="0"/>
          <c:showVal val="1"/>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[Chocolate Sales Analysis.xlsx]pivot_tabel!PivotTable17</c:name>
    <c:fmtId val="0"/>
  </c:pivotSource>
  <c:chart>
    <c:autoTitleDeleted val="1"/>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pivot_tabel!$J$30</c:f>
              <c:strCache>
                <c:ptCount val="1"/>
                <c:pt idx="0">
                  <c:v>Total</c:v>
                </c:pt>
              </c:strCache>
            </c:strRef>
          </c:tx>
          <c:dPt>
            <c:idx val="0"/>
            <c:bubble3D val="0"/>
            <c:spPr>
              <a:solidFill>
                <a:schemeClr val="accent2">
                  <a:shade val="50000"/>
                </a:schemeClr>
              </a:solidFill>
              <a:ln w="25400">
                <a:solidFill>
                  <a:schemeClr val="lt1"/>
                </a:solidFill>
              </a:ln>
              <a:effectLst/>
              <a:sp3d contourW="25400">
                <a:contourClr>
                  <a:schemeClr val="lt1"/>
                </a:contourClr>
              </a:sp3d>
            </c:spPr>
          </c:dPt>
          <c:dPt>
            <c:idx val="1"/>
            <c:bubble3D val="0"/>
            <c:spPr>
              <a:solidFill>
                <a:schemeClr val="accent2">
                  <a:shade val="70000"/>
                </a:schemeClr>
              </a:solidFill>
              <a:ln w="25400">
                <a:solidFill>
                  <a:schemeClr val="lt1"/>
                </a:solidFill>
              </a:ln>
              <a:effectLst/>
              <a:sp3d contourW="25400">
                <a:contourClr>
                  <a:schemeClr val="lt1"/>
                </a:contourClr>
              </a:sp3d>
            </c:spPr>
          </c:dPt>
          <c:dPt>
            <c:idx val="2"/>
            <c:bubble3D val="0"/>
            <c:spPr>
              <a:solidFill>
                <a:schemeClr val="accent2">
                  <a:shade val="90000"/>
                </a:schemeClr>
              </a:solidFill>
              <a:ln w="25400">
                <a:solidFill>
                  <a:schemeClr val="lt1"/>
                </a:solidFill>
              </a:ln>
              <a:effectLst/>
              <a:sp3d contourW="25400">
                <a:contourClr>
                  <a:schemeClr val="lt1"/>
                </a:contourClr>
              </a:sp3d>
            </c:spPr>
          </c:dPt>
          <c:dPt>
            <c:idx val="3"/>
            <c:bubble3D val="0"/>
            <c:spPr>
              <a:solidFill>
                <a:schemeClr val="accent2">
                  <a:tint val="90000"/>
                </a:schemeClr>
              </a:solidFill>
              <a:ln w="25400">
                <a:solidFill>
                  <a:schemeClr val="lt1"/>
                </a:solidFill>
              </a:ln>
              <a:effectLst/>
              <a:sp3d contourW="25400">
                <a:contourClr>
                  <a:schemeClr val="lt1"/>
                </a:contourClr>
              </a:sp3d>
            </c:spPr>
          </c:dPt>
          <c:dPt>
            <c:idx val="4"/>
            <c:bubble3D val="0"/>
            <c:spPr>
              <a:solidFill>
                <a:schemeClr val="accent2">
                  <a:tint val="70000"/>
                </a:schemeClr>
              </a:solidFill>
              <a:ln w="25400">
                <a:solidFill>
                  <a:schemeClr val="lt1"/>
                </a:solidFill>
              </a:ln>
              <a:effectLst/>
              <a:sp3d contourW="25400">
                <a:contourClr>
                  <a:schemeClr val="lt1"/>
                </a:contourClr>
              </a:sp3d>
            </c:spPr>
          </c:dPt>
          <c:dPt>
            <c:idx val="5"/>
            <c:bubble3D val="0"/>
            <c:spPr>
              <a:solidFill>
                <a:schemeClr val="accent2">
                  <a:tint val="5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pivot_tabel!$I$31:$I$37</c:f>
              <c:strCache>
                <c:ptCount val="6"/>
                <c:pt idx="0">
                  <c:v>Australia</c:v>
                </c:pt>
                <c:pt idx="1">
                  <c:v>Canada</c:v>
                </c:pt>
                <c:pt idx="2">
                  <c:v>India</c:v>
                </c:pt>
                <c:pt idx="3">
                  <c:v>New Zealand</c:v>
                </c:pt>
                <c:pt idx="4">
                  <c:v>UK</c:v>
                </c:pt>
                <c:pt idx="5">
                  <c:v>USA</c:v>
                </c:pt>
              </c:strCache>
            </c:strRef>
          </c:cat>
          <c:val>
            <c:numRef>
              <c:f>pivot_tabel!$J$31:$J$37</c:f>
              <c:numCache>
                <c:formatCode>0</c:formatCode>
                <c:ptCount val="6"/>
                <c:pt idx="0">
                  <c:v>32647</c:v>
                </c:pt>
                <c:pt idx="1">
                  <c:v>31221</c:v>
                </c:pt>
                <c:pt idx="2">
                  <c:v>29470</c:v>
                </c:pt>
                <c:pt idx="3">
                  <c:v>26580</c:v>
                </c:pt>
                <c:pt idx="4">
                  <c:v>30265</c:v>
                </c:pt>
                <c:pt idx="5">
                  <c:v>26824</c:v>
                </c:pt>
              </c:numCache>
            </c:numRef>
          </c:val>
          <c:extLst>
            <c:ext xmlns:c16="http://schemas.microsoft.com/office/drawing/2014/chart" uri="{C3380CC4-5D6E-409C-BE32-E72D297353CC}">
              <c16:uniqueId val="{00000000-18FC-4CD5-B301-ED926C03AE75}"/>
            </c:ext>
          </c:extLst>
        </c:ser>
        <c:dLbls>
          <c:showLegendKey val="0"/>
          <c:showVal val="1"/>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Analysis.xlsx]pivot_tabel!PivotTable8</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9A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pivot_tabel!$E$1</c:f>
              <c:strCache>
                <c:ptCount val="1"/>
                <c:pt idx="0">
                  <c:v>Total</c:v>
                </c:pt>
              </c:strCache>
            </c:strRef>
          </c:tx>
          <c:spPr>
            <a:ln w="28575" cap="rnd">
              <a:solidFill>
                <a:srgbClr val="FF9A00"/>
              </a:solidFill>
              <a:round/>
            </a:ln>
            <a:effectLst/>
          </c:spPr>
          <c:marker>
            <c:symbol val="none"/>
          </c:marker>
          <c:cat>
            <c:strRef>
              <c:f>pivot_tabel!$D$2:$D$10</c:f>
              <c:strCache>
                <c:ptCount val="8"/>
                <c:pt idx="0">
                  <c:v>Jan</c:v>
                </c:pt>
                <c:pt idx="1">
                  <c:v>Feb</c:v>
                </c:pt>
                <c:pt idx="2">
                  <c:v>Mar</c:v>
                </c:pt>
                <c:pt idx="3">
                  <c:v>Apr</c:v>
                </c:pt>
                <c:pt idx="4">
                  <c:v>May</c:v>
                </c:pt>
                <c:pt idx="5">
                  <c:v>Jun</c:v>
                </c:pt>
                <c:pt idx="6">
                  <c:v>Jul</c:v>
                </c:pt>
                <c:pt idx="7">
                  <c:v>Aug</c:v>
                </c:pt>
              </c:strCache>
            </c:strRef>
          </c:cat>
          <c:val>
            <c:numRef>
              <c:f>pivot_tabel!$E$2:$E$10</c:f>
              <c:numCache>
                <c:formatCode>[$$-409]#,##0.000</c:formatCode>
                <c:ptCount val="8"/>
                <c:pt idx="0">
                  <c:v>7602.391999999998</c:v>
                </c:pt>
                <c:pt idx="1">
                  <c:v>4300.7719999999999</c:v>
                </c:pt>
                <c:pt idx="2">
                  <c:v>10483.738999999996</c:v>
                </c:pt>
                <c:pt idx="3">
                  <c:v>4009.7120000000018</c:v>
                </c:pt>
                <c:pt idx="4">
                  <c:v>7081.5569999999971</c:v>
                </c:pt>
                <c:pt idx="5">
                  <c:v>11816.182000000001</c:v>
                </c:pt>
                <c:pt idx="6">
                  <c:v>8621.5989999999983</c:v>
                </c:pt>
                <c:pt idx="7">
                  <c:v>10029.852000000003</c:v>
                </c:pt>
              </c:numCache>
            </c:numRef>
          </c:val>
          <c:smooth val="0"/>
          <c:extLst>
            <c:ext xmlns:c16="http://schemas.microsoft.com/office/drawing/2014/chart" uri="{C3380CC4-5D6E-409C-BE32-E72D297353CC}">
              <c16:uniqueId val="{00000000-013B-42D8-B050-17DD409F9645}"/>
            </c:ext>
          </c:extLst>
        </c:ser>
        <c:dLbls>
          <c:showLegendKey val="0"/>
          <c:showVal val="0"/>
          <c:showCatName val="0"/>
          <c:showSerName val="0"/>
          <c:showPercent val="0"/>
          <c:showBubbleSize val="0"/>
        </c:dLbls>
        <c:smooth val="0"/>
        <c:axId val="1125800000"/>
        <c:axId val="1125784640"/>
      </c:lineChart>
      <c:catAx>
        <c:axId val="112580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F200D"/>
                </a:solidFill>
                <a:latin typeface="+mn-lt"/>
                <a:ea typeface="+mn-ea"/>
                <a:cs typeface="+mn-cs"/>
              </a:defRPr>
            </a:pPr>
            <a:endParaRPr lang="en-US"/>
          </a:p>
        </c:txPr>
        <c:crossAx val="1125784640"/>
        <c:crosses val="autoZero"/>
        <c:auto val="1"/>
        <c:lblAlgn val="ctr"/>
        <c:lblOffset val="100"/>
        <c:noMultiLvlLbl val="0"/>
      </c:catAx>
      <c:valAx>
        <c:axId val="1125784640"/>
        <c:scaling>
          <c:orientation val="minMax"/>
        </c:scaling>
        <c:delete val="0"/>
        <c:axPos val="l"/>
        <c:majorGridlines>
          <c:spPr>
            <a:ln w="9525" cap="flat" cmpd="sng" algn="ctr">
              <a:solidFill>
                <a:schemeClr val="bg1">
                  <a:lumMod val="85000"/>
                </a:schemeClr>
              </a:solidFill>
              <a:round/>
            </a:ln>
            <a:effectLst/>
          </c:spPr>
        </c:majorGridlines>
        <c:numFmt formatCode="[$$-409]#,##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F200D"/>
                </a:solidFill>
                <a:latin typeface="+mn-lt"/>
                <a:ea typeface="+mn-ea"/>
                <a:cs typeface="+mn-cs"/>
              </a:defRPr>
            </a:pPr>
            <a:endParaRPr lang="en-US"/>
          </a:p>
        </c:txPr>
        <c:crossAx val="112580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Analysis.xlsx]pivot_tabel!PivotTable9</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9A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pivot_tabel!$E$12</c:f>
              <c:strCache>
                <c:ptCount val="1"/>
                <c:pt idx="0">
                  <c:v>Total</c:v>
                </c:pt>
              </c:strCache>
            </c:strRef>
          </c:tx>
          <c:spPr>
            <a:ln w="28575" cap="rnd">
              <a:solidFill>
                <a:srgbClr val="FF9A00"/>
              </a:solidFill>
              <a:round/>
            </a:ln>
            <a:effectLst/>
          </c:spPr>
          <c:marker>
            <c:symbol val="none"/>
          </c:marker>
          <c:cat>
            <c:strRef>
              <c:f>pivot_tabel!$D$13:$D$21</c:f>
              <c:strCache>
                <c:ptCount val="8"/>
                <c:pt idx="0">
                  <c:v>Jan</c:v>
                </c:pt>
                <c:pt idx="1">
                  <c:v>Feb</c:v>
                </c:pt>
                <c:pt idx="2">
                  <c:v>Mar</c:v>
                </c:pt>
                <c:pt idx="3">
                  <c:v>Apr</c:v>
                </c:pt>
                <c:pt idx="4">
                  <c:v>May</c:v>
                </c:pt>
                <c:pt idx="5">
                  <c:v>Jun</c:v>
                </c:pt>
                <c:pt idx="6">
                  <c:v>Jul</c:v>
                </c:pt>
                <c:pt idx="7">
                  <c:v>Aug</c:v>
                </c:pt>
              </c:strCache>
            </c:strRef>
          </c:cat>
          <c:val>
            <c:numRef>
              <c:f>pivot_tabel!$E$13:$E$21</c:f>
              <c:numCache>
                <c:formatCode>0</c:formatCode>
                <c:ptCount val="8"/>
                <c:pt idx="0">
                  <c:v>27535</c:v>
                </c:pt>
                <c:pt idx="1">
                  <c:v>18015</c:v>
                </c:pt>
                <c:pt idx="2">
                  <c:v>19561</c:v>
                </c:pt>
                <c:pt idx="3">
                  <c:v>21003</c:v>
                </c:pt>
                <c:pt idx="4">
                  <c:v>21856</c:v>
                </c:pt>
                <c:pt idx="5">
                  <c:v>26260</c:v>
                </c:pt>
                <c:pt idx="6">
                  <c:v>22876</c:v>
                </c:pt>
                <c:pt idx="7">
                  <c:v>19901</c:v>
                </c:pt>
              </c:numCache>
            </c:numRef>
          </c:val>
          <c:smooth val="0"/>
          <c:extLst>
            <c:ext xmlns:c16="http://schemas.microsoft.com/office/drawing/2014/chart" uri="{C3380CC4-5D6E-409C-BE32-E72D297353CC}">
              <c16:uniqueId val="{00000000-59AA-4E6C-B3DA-9B353979EDA6}"/>
            </c:ext>
          </c:extLst>
        </c:ser>
        <c:dLbls>
          <c:showLegendKey val="0"/>
          <c:showVal val="0"/>
          <c:showCatName val="0"/>
          <c:showSerName val="0"/>
          <c:showPercent val="0"/>
          <c:showBubbleSize val="0"/>
        </c:dLbls>
        <c:smooth val="0"/>
        <c:axId val="1125798080"/>
        <c:axId val="1125804320"/>
      </c:lineChart>
      <c:catAx>
        <c:axId val="1125798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F200D"/>
                </a:solidFill>
                <a:latin typeface="+mn-lt"/>
                <a:ea typeface="+mn-ea"/>
                <a:cs typeface="+mn-cs"/>
              </a:defRPr>
            </a:pPr>
            <a:endParaRPr lang="en-US"/>
          </a:p>
        </c:txPr>
        <c:crossAx val="1125804320"/>
        <c:crosses val="autoZero"/>
        <c:auto val="1"/>
        <c:lblAlgn val="ctr"/>
        <c:lblOffset val="100"/>
        <c:noMultiLvlLbl val="0"/>
      </c:catAx>
      <c:valAx>
        <c:axId val="1125804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F200D"/>
                </a:solidFill>
                <a:latin typeface="+mn-lt"/>
                <a:ea typeface="+mn-ea"/>
                <a:cs typeface="+mn-cs"/>
              </a:defRPr>
            </a:pPr>
            <a:endParaRPr lang="en-US"/>
          </a:p>
        </c:txPr>
        <c:crossAx val="112579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Analysis.xlsx]pivot_tabel!PivotTable12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9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4F20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F200D"/>
          </a:solidFill>
          <a:ln>
            <a:noFill/>
          </a:ln>
          <a:effectLst/>
        </c:spPr>
      </c:pivotFmt>
      <c:pivotFmt>
        <c:idx val="7"/>
        <c:spPr>
          <a:solidFill>
            <a:srgbClr val="4F200D"/>
          </a:solidFill>
          <a:ln>
            <a:noFill/>
          </a:ln>
          <a:effectLst/>
        </c:spPr>
      </c:pivotFmt>
      <c:pivotFmt>
        <c:idx val="8"/>
        <c:spPr>
          <a:solidFill>
            <a:srgbClr val="4F200D"/>
          </a:solidFill>
          <a:ln>
            <a:noFill/>
          </a:ln>
          <a:effectLst/>
        </c:spPr>
      </c:pivotFmt>
      <c:pivotFmt>
        <c:idx val="9"/>
        <c:spPr>
          <a:solidFill>
            <a:srgbClr val="4F200D"/>
          </a:solidFill>
          <a:ln>
            <a:noFill/>
          </a:ln>
          <a:effectLst/>
        </c:spPr>
      </c:pivotFmt>
      <c:pivotFmt>
        <c:idx val="10"/>
        <c:spPr>
          <a:solidFill>
            <a:srgbClr val="4F200D"/>
          </a:solidFill>
          <a:ln>
            <a:noFill/>
          </a:ln>
          <a:effectLst/>
        </c:spPr>
      </c:pivotFmt>
      <c:pivotFmt>
        <c:idx val="11"/>
        <c:spPr>
          <a:solidFill>
            <a:srgbClr val="4F200D"/>
          </a:solidFill>
          <a:ln>
            <a:noFill/>
          </a:ln>
          <a:effectLst/>
        </c:spPr>
      </c:pivotFmt>
    </c:pivotFmts>
    <c:plotArea>
      <c:layout/>
      <c:barChart>
        <c:barDir val="bar"/>
        <c:grouping val="clustered"/>
        <c:varyColors val="0"/>
        <c:ser>
          <c:idx val="0"/>
          <c:order val="0"/>
          <c:tx>
            <c:strRef>
              <c:f>pivot_tabel!$T$1</c:f>
              <c:strCache>
                <c:ptCount val="1"/>
                <c:pt idx="0">
                  <c:v>Sum of Amount</c:v>
                </c:pt>
              </c:strCache>
            </c:strRef>
          </c:tx>
          <c:spPr>
            <a:solidFill>
              <a:srgbClr val="FF9A00"/>
            </a:solidFill>
            <a:ln>
              <a:noFill/>
            </a:ln>
            <a:effectLst/>
          </c:spPr>
          <c:invertIfNegative val="0"/>
          <c:cat>
            <c:strRef>
              <c:f>pivot_tabel!$S$2:$S$24</c:f>
              <c:strCache>
                <c:ptCount val="22"/>
                <c:pt idx="0">
                  <c:v>Choco Coated Almonds</c:v>
                </c:pt>
                <c:pt idx="1">
                  <c:v>Mint Chip Choco</c:v>
                </c:pt>
                <c:pt idx="2">
                  <c:v>Manuka Honey Choco</c:v>
                </c:pt>
                <c:pt idx="3">
                  <c:v>Baker's Choco Chips</c:v>
                </c:pt>
                <c:pt idx="4">
                  <c:v>White Choc</c:v>
                </c:pt>
                <c:pt idx="5">
                  <c:v>Almond Choco</c:v>
                </c:pt>
                <c:pt idx="6">
                  <c:v>99% Dark &amp; Pure</c:v>
                </c:pt>
                <c:pt idx="7">
                  <c:v>85% Dark Bars</c:v>
                </c:pt>
                <c:pt idx="8">
                  <c:v>Caramel Stuffed Bars</c:v>
                </c:pt>
                <c:pt idx="9">
                  <c:v>Smooth Sliky Salty</c:v>
                </c:pt>
                <c:pt idx="10">
                  <c:v>Spicy Special Slims</c:v>
                </c:pt>
                <c:pt idx="11">
                  <c:v>Eclairs</c:v>
                </c:pt>
                <c:pt idx="12">
                  <c:v>70% Dark Bites</c:v>
                </c:pt>
                <c:pt idx="13">
                  <c:v>Peanut Butter Cubes</c:v>
                </c:pt>
                <c:pt idx="14">
                  <c:v>Fruit &amp; Nut Bars</c:v>
                </c:pt>
                <c:pt idx="15">
                  <c:v>After Nines</c:v>
                </c:pt>
                <c:pt idx="16">
                  <c:v>50% Dark Bites</c:v>
                </c:pt>
                <c:pt idx="17">
                  <c:v>Orange Choco</c:v>
                </c:pt>
                <c:pt idx="18">
                  <c:v>Raspberry Choco</c:v>
                </c:pt>
                <c:pt idx="19">
                  <c:v>Drinking Coco</c:v>
                </c:pt>
                <c:pt idx="20">
                  <c:v>Organic Choco Syrup</c:v>
                </c:pt>
                <c:pt idx="21">
                  <c:v>Milk Bars</c:v>
                </c:pt>
              </c:strCache>
            </c:strRef>
          </c:cat>
          <c:val>
            <c:numRef>
              <c:f>pivot_tabel!$T$2:$T$24</c:f>
              <c:numCache>
                <c:formatCode>[$$-409]#,##0.000</c:formatCode>
                <c:ptCount val="22"/>
                <c:pt idx="0">
                  <c:v>290.43700000000007</c:v>
                </c:pt>
                <c:pt idx="1">
                  <c:v>346.90599999999995</c:v>
                </c:pt>
                <c:pt idx="2">
                  <c:v>1254.5609999999995</c:v>
                </c:pt>
                <c:pt idx="3">
                  <c:v>1550.3110000000001</c:v>
                </c:pt>
                <c:pt idx="4">
                  <c:v>1566.9080000000001</c:v>
                </c:pt>
                <c:pt idx="5">
                  <c:v>1676.136</c:v>
                </c:pt>
                <c:pt idx="6">
                  <c:v>1859.2350000000001</c:v>
                </c:pt>
                <c:pt idx="7">
                  <c:v>2376.1500000000005</c:v>
                </c:pt>
                <c:pt idx="8">
                  <c:v>2434.3830000000007</c:v>
                </c:pt>
                <c:pt idx="9">
                  <c:v>2853.1859999999997</c:v>
                </c:pt>
                <c:pt idx="10">
                  <c:v>3013.7309999999998</c:v>
                </c:pt>
                <c:pt idx="11">
                  <c:v>3151.6029999999992</c:v>
                </c:pt>
                <c:pt idx="12">
                  <c:v>3197.6210000000001</c:v>
                </c:pt>
                <c:pt idx="13">
                  <c:v>3471.6919999999996</c:v>
                </c:pt>
                <c:pt idx="14">
                  <c:v>3566.8359999999998</c:v>
                </c:pt>
                <c:pt idx="15">
                  <c:v>4114.4739999999993</c:v>
                </c:pt>
                <c:pt idx="16">
                  <c:v>4145.9039999999995</c:v>
                </c:pt>
                <c:pt idx="17">
                  <c:v>4158.2380000000003</c:v>
                </c:pt>
                <c:pt idx="18">
                  <c:v>4488.5120000000006</c:v>
                </c:pt>
                <c:pt idx="19">
                  <c:v>4578.3289999999997</c:v>
                </c:pt>
                <c:pt idx="20">
                  <c:v>4868.1220000000003</c:v>
                </c:pt>
                <c:pt idx="21">
                  <c:v>4982.529999999997</c:v>
                </c:pt>
              </c:numCache>
            </c:numRef>
          </c:val>
          <c:extLst>
            <c:ext xmlns:c16="http://schemas.microsoft.com/office/drawing/2014/chart" uri="{C3380CC4-5D6E-409C-BE32-E72D297353CC}">
              <c16:uniqueId val="{00000000-6549-4810-859E-B604EE03C96F}"/>
            </c:ext>
          </c:extLst>
        </c:ser>
        <c:ser>
          <c:idx val="1"/>
          <c:order val="1"/>
          <c:tx>
            <c:strRef>
              <c:f>pivot_tabel!$U$1</c:f>
              <c:strCache>
                <c:ptCount val="1"/>
                <c:pt idx="0">
                  <c:v>Sum of Boxes Shipped</c:v>
                </c:pt>
              </c:strCache>
            </c:strRef>
          </c:tx>
          <c:spPr>
            <a:solidFill>
              <a:srgbClr val="4F200D"/>
            </a:solidFill>
            <a:ln>
              <a:noFill/>
            </a:ln>
            <a:effectLst/>
          </c:spPr>
          <c:invertIfNegative val="0"/>
          <c:cat>
            <c:strRef>
              <c:f>pivot_tabel!$S$2:$S$24</c:f>
              <c:strCache>
                <c:ptCount val="22"/>
                <c:pt idx="0">
                  <c:v>Choco Coated Almonds</c:v>
                </c:pt>
                <c:pt idx="1">
                  <c:v>Mint Chip Choco</c:v>
                </c:pt>
                <c:pt idx="2">
                  <c:v>Manuka Honey Choco</c:v>
                </c:pt>
                <c:pt idx="3">
                  <c:v>Baker's Choco Chips</c:v>
                </c:pt>
                <c:pt idx="4">
                  <c:v>White Choc</c:v>
                </c:pt>
                <c:pt idx="5">
                  <c:v>Almond Choco</c:v>
                </c:pt>
                <c:pt idx="6">
                  <c:v>99% Dark &amp; Pure</c:v>
                </c:pt>
                <c:pt idx="7">
                  <c:v>85% Dark Bars</c:v>
                </c:pt>
                <c:pt idx="8">
                  <c:v>Caramel Stuffed Bars</c:v>
                </c:pt>
                <c:pt idx="9">
                  <c:v>Smooth Sliky Salty</c:v>
                </c:pt>
                <c:pt idx="10">
                  <c:v>Spicy Special Slims</c:v>
                </c:pt>
                <c:pt idx="11">
                  <c:v>Eclairs</c:v>
                </c:pt>
                <c:pt idx="12">
                  <c:v>70% Dark Bites</c:v>
                </c:pt>
                <c:pt idx="13">
                  <c:v>Peanut Butter Cubes</c:v>
                </c:pt>
                <c:pt idx="14">
                  <c:v>Fruit &amp; Nut Bars</c:v>
                </c:pt>
                <c:pt idx="15">
                  <c:v>After Nines</c:v>
                </c:pt>
                <c:pt idx="16">
                  <c:v>50% Dark Bites</c:v>
                </c:pt>
                <c:pt idx="17">
                  <c:v>Orange Choco</c:v>
                </c:pt>
                <c:pt idx="18">
                  <c:v>Raspberry Choco</c:v>
                </c:pt>
                <c:pt idx="19">
                  <c:v>Drinking Coco</c:v>
                </c:pt>
                <c:pt idx="20">
                  <c:v>Organic Choco Syrup</c:v>
                </c:pt>
                <c:pt idx="21">
                  <c:v>Milk Bars</c:v>
                </c:pt>
              </c:strCache>
            </c:strRef>
          </c:cat>
          <c:val>
            <c:numRef>
              <c:f>pivot_tabel!$U$2:$U$24</c:f>
              <c:numCache>
                <c:formatCode>0</c:formatCode>
                <c:ptCount val="22"/>
                <c:pt idx="0">
                  <c:v>6464</c:v>
                </c:pt>
                <c:pt idx="1">
                  <c:v>8207</c:v>
                </c:pt>
                <c:pt idx="2">
                  <c:v>7781</c:v>
                </c:pt>
                <c:pt idx="3">
                  <c:v>6998</c:v>
                </c:pt>
                <c:pt idx="4">
                  <c:v>8240</c:v>
                </c:pt>
                <c:pt idx="5">
                  <c:v>6736</c:v>
                </c:pt>
                <c:pt idx="6">
                  <c:v>8127</c:v>
                </c:pt>
                <c:pt idx="7">
                  <c:v>7793</c:v>
                </c:pt>
                <c:pt idx="8">
                  <c:v>8717</c:v>
                </c:pt>
                <c:pt idx="9">
                  <c:v>8810</c:v>
                </c:pt>
                <c:pt idx="10">
                  <c:v>8685</c:v>
                </c:pt>
                <c:pt idx="11">
                  <c:v>8757</c:v>
                </c:pt>
                <c:pt idx="12">
                  <c:v>8015</c:v>
                </c:pt>
                <c:pt idx="13">
                  <c:v>8304</c:v>
                </c:pt>
                <c:pt idx="14">
                  <c:v>7738</c:v>
                </c:pt>
                <c:pt idx="15">
                  <c:v>8257</c:v>
                </c:pt>
                <c:pt idx="16">
                  <c:v>9792</c:v>
                </c:pt>
                <c:pt idx="17">
                  <c:v>7732</c:v>
                </c:pt>
                <c:pt idx="18">
                  <c:v>7115</c:v>
                </c:pt>
                <c:pt idx="19">
                  <c:v>8660</c:v>
                </c:pt>
                <c:pt idx="20">
                  <c:v>7749</c:v>
                </c:pt>
                <c:pt idx="21">
                  <c:v>8330</c:v>
                </c:pt>
              </c:numCache>
            </c:numRef>
          </c:val>
          <c:extLst>
            <c:ext xmlns:c16="http://schemas.microsoft.com/office/drawing/2014/chart" uri="{C3380CC4-5D6E-409C-BE32-E72D297353CC}">
              <c16:uniqueId val="{00000001-6549-4810-859E-B604EE03C96F}"/>
            </c:ext>
          </c:extLst>
        </c:ser>
        <c:dLbls>
          <c:showLegendKey val="0"/>
          <c:showVal val="0"/>
          <c:showCatName val="0"/>
          <c:showSerName val="0"/>
          <c:showPercent val="0"/>
          <c:showBubbleSize val="0"/>
        </c:dLbls>
        <c:gapWidth val="182"/>
        <c:axId val="1340742495"/>
        <c:axId val="1340729055"/>
      </c:barChart>
      <c:catAx>
        <c:axId val="1340742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F200D"/>
                </a:solidFill>
                <a:latin typeface="+mn-lt"/>
                <a:ea typeface="+mn-ea"/>
                <a:cs typeface="+mn-cs"/>
              </a:defRPr>
            </a:pPr>
            <a:endParaRPr lang="en-US"/>
          </a:p>
        </c:txPr>
        <c:crossAx val="1340729055"/>
        <c:crosses val="autoZero"/>
        <c:auto val="1"/>
        <c:lblAlgn val="ctr"/>
        <c:lblOffset val="100"/>
        <c:noMultiLvlLbl val="0"/>
      </c:catAx>
      <c:valAx>
        <c:axId val="1340729055"/>
        <c:scaling>
          <c:orientation val="minMax"/>
          <c:max val="8000"/>
        </c:scaling>
        <c:delete val="0"/>
        <c:axPos val="b"/>
        <c:majorGridlines>
          <c:spPr>
            <a:ln w="9525" cap="flat" cmpd="sng" algn="ctr">
              <a:solidFill>
                <a:schemeClr val="tx1">
                  <a:lumMod val="15000"/>
                  <a:lumOff val="85000"/>
                </a:schemeClr>
              </a:solidFill>
              <a:round/>
            </a:ln>
            <a:effectLst/>
          </c:spPr>
        </c:majorGridlines>
        <c:numFmt formatCode="[$$-409]#,##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F200D"/>
                </a:solidFill>
                <a:latin typeface="+mn-lt"/>
                <a:ea typeface="+mn-ea"/>
                <a:cs typeface="+mn-cs"/>
              </a:defRPr>
            </a:pPr>
            <a:endParaRPr lang="en-US"/>
          </a:p>
        </c:txPr>
        <c:crossAx val="1340742495"/>
        <c:crosses val="autoZero"/>
        <c:crossBetween val="between"/>
        <c:majorUnit val="4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4F200D"/>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Analysis.xlsx]pivot_tabel!PivotTable13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9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4F20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pivot_tabel!$AD$1</c:f>
              <c:strCache>
                <c:ptCount val="1"/>
                <c:pt idx="0">
                  <c:v>Sum of Amount</c:v>
                </c:pt>
              </c:strCache>
            </c:strRef>
          </c:tx>
          <c:spPr>
            <a:solidFill>
              <a:srgbClr val="FF9A00"/>
            </a:solidFill>
            <a:ln>
              <a:noFill/>
            </a:ln>
            <a:effectLst/>
          </c:spPr>
          <c:invertIfNegative val="0"/>
          <c:cat>
            <c:strRef>
              <c:f>pivot_tabel!$AC$2:$AC$27</c:f>
              <c:strCache>
                <c:ptCount val="25"/>
                <c:pt idx="0">
                  <c:v>Kelci Walkden</c:v>
                </c:pt>
                <c:pt idx="1">
                  <c:v>Curtice Advani</c:v>
                </c:pt>
                <c:pt idx="2">
                  <c:v>Dennison Crosswaite</c:v>
                </c:pt>
                <c:pt idx="3">
                  <c:v>Gigi Bohling</c:v>
                </c:pt>
                <c:pt idx="4">
                  <c:v>Karlen McCaffrey</c:v>
                </c:pt>
                <c:pt idx="5">
                  <c:v>Beverie Moffet</c:v>
                </c:pt>
                <c:pt idx="6">
                  <c:v>Van Tuxwell</c:v>
                </c:pt>
                <c:pt idx="7">
                  <c:v>Andria Kimpton</c:v>
                </c:pt>
                <c:pt idx="8">
                  <c:v>Husein Augar</c:v>
                </c:pt>
                <c:pt idx="9">
                  <c:v>Ches Bonnell</c:v>
                </c:pt>
                <c:pt idx="10">
                  <c:v>Marney O'Breen</c:v>
                </c:pt>
                <c:pt idx="11">
                  <c:v>Rafaelita Blaksland</c:v>
                </c:pt>
                <c:pt idx="12">
                  <c:v>Wilone O'Kielt</c:v>
                </c:pt>
                <c:pt idx="13">
                  <c:v>Gunar Cockshoot</c:v>
                </c:pt>
                <c:pt idx="14">
                  <c:v>Brien Boise</c:v>
                </c:pt>
                <c:pt idx="15">
                  <c:v>Mallorie Waber</c:v>
                </c:pt>
                <c:pt idx="16">
                  <c:v>Jan Morforth</c:v>
                </c:pt>
                <c:pt idx="17">
                  <c:v>Dotty Strutley</c:v>
                </c:pt>
                <c:pt idx="18">
                  <c:v>Camilla Castle</c:v>
                </c:pt>
                <c:pt idx="19">
                  <c:v>Barr Faughny</c:v>
                </c:pt>
                <c:pt idx="20">
                  <c:v>Oby Sorrel</c:v>
                </c:pt>
                <c:pt idx="21">
                  <c:v>Jehu Rudeforth</c:v>
                </c:pt>
                <c:pt idx="22">
                  <c:v>Roddy Speechley</c:v>
                </c:pt>
                <c:pt idx="23">
                  <c:v>Kaine Padly</c:v>
                </c:pt>
                <c:pt idx="24">
                  <c:v>Madelene Upcott</c:v>
                </c:pt>
              </c:strCache>
            </c:strRef>
          </c:cat>
          <c:val>
            <c:numRef>
              <c:f>pivot_tabel!$AD$2:$AD$27</c:f>
              <c:numCache>
                <c:formatCode>[$$-409]#,##0.000</c:formatCode>
                <c:ptCount val="25"/>
                <c:pt idx="0">
                  <c:v>5073.9430000000011</c:v>
                </c:pt>
                <c:pt idx="1">
                  <c:v>4887.7849999999999</c:v>
                </c:pt>
                <c:pt idx="2">
                  <c:v>4830.1259999999993</c:v>
                </c:pt>
                <c:pt idx="3">
                  <c:v>4792.101999999999</c:v>
                </c:pt>
                <c:pt idx="4">
                  <c:v>4699.4149999999991</c:v>
                </c:pt>
                <c:pt idx="5">
                  <c:v>3215.9820000000004</c:v>
                </c:pt>
                <c:pt idx="6">
                  <c:v>3093.3560000000011</c:v>
                </c:pt>
                <c:pt idx="7">
                  <c:v>3047.8979999999997</c:v>
                </c:pt>
                <c:pt idx="8">
                  <c:v>2869.5450000000001</c:v>
                </c:pt>
                <c:pt idx="9">
                  <c:v>2726.492999999999</c:v>
                </c:pt>
                <c:pt idx="10">
                  <c:v>2448.5509999999995</c:v>
                </c:pt>
                <c:pt idx="11">
                  <c:v>2364.0890000000009</c:v>
                </c:pt>
                <c:pt idx="12">
                  <c:v>2348.3110000000001</c:v>
                </c:pt>
                <c:pt idx="13">
                  <c:v>2224.4949999999999</c:v>
                </c:pt>
                <c:pt idx="14">
                  <c:v>2158.9679999999998</c:v>
                </c:pt>
                <c:pt idx="15">
                  <c:v>2088.7020000000002</c:v>
                </c:pt>
                <c:pt idx="16">
                  <c:v>2002.8819999999996</c:v>
                </c:pt>
                <c:pt idx="17">
                  <c:v>1994.8179999999998</c:v>
                </c:pt>
                <c:pt idx="18">
                  <c:v>1504.3069999999998</c:v>
                </c:pt>
                <c:pt idx="19">
                  <c:v>1223.7470000000005</c:v>
                </c:pt>
                <c:pt idx="20">
                  <c:v>1085.8750000000002</c:v>
                </c:pt>
                <c:pt idx="21">
                  <c:v>1053.1429999999998</c:v>
                </c:pt>
                <c:pt idx="22">
                  <c:v>908.40400000000022</c:v>
                </c:pt>
                <c:pt idx="23">
                  <c:v>825.93</c:v>
                </c:pt>
                <c:pt idx="24">
                  <c:v>476.93799999999999</c:v>
                </c:pt>
              </c:numCache>
            </c:numRef>
          </c:val>
          <c:extLst>
            <c:ext xmlns:c16="http://schemas.microsoft.com/office/drawing/2014/chart" uri="{C3380CC4-5D6E-409C-BE32-E72D297353CC}">
              <c16:uniqueId val="{00000000-D44F-425D-9DDD-1E8288FCF929}"/>
            </c:ext>
          </c:extLst>
        </c:ser>
        <c:ser>
          <c:idx val="1"/>
          <c:order val="1"/>
          <c:tx>
            <c:strRef>
              <c:f>pivot_tabel!$AE$1</c:f>
              <c:strCache>
                <c:ptCount val="1"/>
                <c:pt idx="0">
                  <c:v>Sum of Boxes Shipped</c:v>
                </c:pt>
              </c:strCache>
            </c:strRef>
          </c:tx>
          <c:spPr>
            <a:solidFill>
              <a:srgbClr val="4F200D"/>
            </a:solidFill>
            <a:ln>
              <a:noFill/>
            </a:ln>
            <a:effectLst/>
          </c:spPr>
          <c:invertIfNegative val="0"/>
          <c:cat>
            <c:strRef>
              <c:f>pivot_tabel!$AC$2:$AC$27</c:f>
              <c:strCache>
                <c:ptCount val="25"/>
                <c:pt idx="0">
                  <c:v>Kelci Walkden</c:v>
                </c:pt>
                <c:pt idx="1">
                  <c:v>Curtice Advani</c:v>
                </c:pt>
                <c:pt idx="2">
                  <c:v>Dennison Crosswaite</c:v>
                </c:pt>
                <c:pt idx="3">
                  <c:v>Gigi Bohling</c:v>
                </c:pt>
                <c:pt idx="4">
                  <c:v>Karlen McCaffrey</c:v>
                </c:pt>
                <c:pt idx="5">
                  <c:v>Beverie Moffet</c:v>
                </c:pt>
                <c:pt idx="6">
                  <c:v>Van Tuxwell</c:v>
                </c:pt>
                <c:pt idx="7">
                  <c:v>Andria Kimpton</c:v>
                </c:pt>
                <c:pt idx="8">
                  <c:v>Husein Augar</c:v>
                </c:pt>
                <c:pt idx="9">
                  <c:v>Ches Bonnell</c:v>
                </c:pt>
                <c:pt idx="10">
                  <c:v>Marney O'Breen</c:v>
                </c:pt>
                <c:pt idx="11">
                  <c:v>Rafaelita Blaksland</c:v>
                </c:pt>
                <c:pt idx="12">
                  <c:v>Wilone O'Kielt</c:v>
                </c:pt>
                <c:pt idx="13">
                  <c:v>Gunar Cockshoot</c:v>
                </c:pt>
                <c:pt idx="14">
                  <c:v>Brien Boise</c:v>
                </c:pt>
                <c:pt idx="15">
                  <c:v>Mallorie Waber</c:v>
                </c:pt>
                <c:pt idx="16">
                  <c:v>Jan Morforth</c:v>
                </c:pt>
                <c:pt idx="17">
                  <c:v>Dotty Strutley</c:v>
                </c:pt>
                <c:pt idx="18">
                  <c:v>Camilla Castle</c:v>
                </c:pt>
                <c:pt idx="19">
                  <c:v>Barr Faughny</c:v>
                </c:pt>
                <c:pt idx="20">
                  <c:v>Oby Sorrel</c:v>
                </c:pt>
                <c:pt idx="21">
                  <c:v>Jehu Rudeforth</c:v>
                </c:pt>
                <c:pt idx="22">
                  <c:v>Roddy Speechley</c:v>
                </c:pt>
                <c:pt idx="23">
                  <c:v>Kaine Padly</c:v>
                </c:pt>
                <c:pt idx="24">
                  <c:v>Madelene Upcott</c:v>
                </c:pt>
              </c:strCache>
            </c:strRef>
          </c:cat>
          <c:val>
            <c:numRef>
              <c:f>pivot_tabel!$AE$2:$AE$27</c:f>
              <c:numCache>
                <c:formatCode>0</c:formatCode>
                <c:ptCount val="25"/>
                <c:pt idx="0">
                  <c:v>8702</c:v>
                </c:pt>
                <c:pt idx="1">
                  <c:v>7074</c:v>
                </c:pt>
                <c:pt idx="2">
                  <c:v>8767</c:v>
                </c:pt>
                <c:pt idx="3">
                  <c:v>6303</c:v>
                </c:pt>
                <c:pt idx="4">
                  <c:v>9658</c:v>
                </c:pt>
                <c:pt idx="5">
                  <c:v>9214</c:v>
                </c:pt>
                <c:pt idx="6">
                  <c:v>6799</c:v>
                </c:pt>
                <c:pt idx="7">
                  <c:v>6448</c:v>
                </c:pt>
                <c:pt idx="8">
                  <c:v>5849</c:v>
                </c:pt>
                <c:pt idx="9">
                  <c:v>7522</c:v>
                </c:pt>
                <c:pt idx="10">
                  <c:v>8043</c:v>
                </c:pt>
                <c:pt idx="11">
                  <c:v>4297</c:v>
                </c:pt>
                <c:pt idx="12">
                  <c:v>4033</c:v>
                </c:pt>
                <c:pt idx="13">
                  <c:v>6677</c:v>
                </c:pt>
                <c:pt idx="14">
                  <c:v>8102</c:v>
                </c:pt>
                <c:pt idx="15">
                  <c:v>5980</c:v>
                </c:pt>
                <c:pt idx="16">
                  <c:v>7661</c:v>
                </c:pt>
                <c:pt idx="17">
                  <c:v>6853</c:v>
                </c:pt>
                <c:pt idx="18">
                  <c:v>5374</c:v>
                </c:pt>
                <c:pt idx="19">
                  <c:v>6366</c:v>
                </c:pt>
                <c:pt idx="20">
                  <c:v>8608</c:v>
                </c:pt>
                <c:pt idx="21">
                  <c:v>7246</c:v>
                </c:pt>
                <c:pt idx="22">
                  <c:v>6899</c:v>
                </c:pt>
                <c:pt idx="23">
                  <c:v>7253</c:v>
                </c:pt>
                <c:pt idx="24">
                  <c:v>7279</c:v>
                </c:pt>
              </c:numCache>
            </c:numRef>
          </c:val>
          <c:extLst>
            <c:ext xmlns:c16="http://schemas.microsoft.com/office/drawing/2014/chart" uri="{C3380CC4-5D6E-409C-BE32-E72D297353CC}">
              <c16:uniqueId val="{00000001-D44F-425D-9DDD-1E8288FCF929}"/>
            </c:ext>
          </c:extLst>
        </c:ser>
        <c:dLbls>
          <c:showLegendKey val="0"/>
          <c:showVal val="0"/>
          <c:showCatName val="0"/>
          <c:showSerName val="0"/>
          <c:showPercent val="0"/>
          <c:showBubbleSize val="0"/>
        </c:dLbls>
        <c:gapWidth val="182"/>
        <c:axId val="1340735295"/>
        <c:axId val="1340718975"/>
      </c:barChart>
      <c:catAx>
        <c:axId val="1340735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F200D"/>
                </a:solidFill>
                <a:latin typeface="+mn-lt"/>
                <a:ea typeface="+mn-ea"/>
                <a:cs typeface="+mn-cs"/>
              </a:defRPr>
            </a:pPr>
            <a:endParaRPr lang="en-US"/>
          </a:p>
        </c:txPr>
        <c:crossAx val="1340718975"/>
        <c:crosses val="autoZero"/>
        <c:auto val="1"/>
        <c:lblAlgn val="ctr"/>
        <c:lblOffset val="100"/>
        <c:noMultiLvlLbl val="0"/>
      </c:catAx>
      <c:valAx>
        <c:axId val="1340718975"/>
        <c:scaling>
          <c:orientation val="minMax"/>
        </c:scaling>
        <c:delete val="0"/>
        <c:axPos val="b"/>
        <c:majorGridlines>
          <c:spPr>
            <a:ln w="9525" cap="flat" cmpd="sng" algn="ctr">
              <a:solidFill>
                <a:schemeClr val="tx1">
                  <a:lumMod val="15000"/>
                  <a:lumOff val="85000"/>
                </a:schemeClr>
              </a:solidFill>
              <a:round/>
            </a:ln>
            <a:effectLst/>
          </c:spPr>
        </c:majorGridlines>
        <c:numFmt formatCode="[$$-409]#,##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F200D"/>
                </a:solidFill>
                <a:latin typeface="+mn-lt"/>
                <a:ea typeface="+mn-ea"/>
                <a:cs typeface="+mn-cs"/>
              </a:defRPr>
            </a:pPr>
            <a:endParaRPr lang="en-US"/>
          </a:p>
        </c:txPr>
        <c:crossAx val="134073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4F200D"/>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[Chocolate Sales Analysis.xlsx]pivot_tabel!PivotTable1</c:name>
    <c:fmtId val="8"/>
  </c:pivotSource>
  <c:chart>
    <c:autoTitleDeleted val="1"/>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2"/>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2">
              <a:shade val="50000"/>
            </a:schemeClr>
          </a:solidFill>
          <a:ln w="25400">
            <a:solidFill>
              <a:schemeClr val="lt1"/>
            </a:solidFill>
          </a:ln>
          <a:effectLst/>
          <a:sp3d contourW="25400">
            <a:contourClr>
              <a:schemeClr val="lt1"/>
            </a:contourClr>
          </a:sp3d>
        </c:spPr>
        <c:dLbl>
          <c:idx val="0"/>
          <c:layout>
            <c:manualLayout>
              <c:x val="6.5673024350321407E-2"/>
              <c:y val="-2.1579328511054662E-2"/>
            </c:manualLayout>
          </c:layout>
          <c:spPr>
            <a:noFill/>
            <a:ln>
              <a:noFill/>
            </a:ln>
            <a:effectLst/>
          </c:spPr>
          <c:txPr>
            <a:bodyPr rot="0" spcFirstLastPara="1" vertOverflow="overflow" horzOverflow="overflow" vert="horz" wrap="square" lIns="38100" tIns="19050" rIns="38100" bIns="19050" anchor="ctr" anchorCtr="1">
              <a:no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065843278551722"/>
                  <c:h val="0.17604139428480681"/>
                </c:manualLayout>
              </c15:layout>
            </c:ext>
          </c:extLst>
        </c:dLbl>
      </c:pivotFmt>
      <c:pivotFmt>
        <c:idx val="10"/>
        <c:spPr>
          <a:solidFill>
            <a:schemeClr val="accent2">
              <a:shade val="70000"/>
            </a:schemeClr>
          </a:solidFill>
          <a:ln w="25400">
            <a:solidFill>
              <a:schemeClr val="lt1"/>
            </a:solidFill>
          </a:ln>
          <a:effectLst/>
          <a:sp3d contourW="25400">
            <a:contourClr>
              <a:schemeClr val="lt1"/>
            </a:contourClr>
          </a:sp3d>
        </c:spPr>
        <c:dLbl>
          <c:idx val="0"/>
          <c:spPr>
            <a:noFill/>
            <a:ln>
              <a:noFill/>
            </a:ln>
            <a:effectLst/>
          </c:spPr>
          <c:txPr>
            <a:bodyPr rot="0" spcFirstLastPara="1" vertOverflow="overflow" horzOverflow="overflow" vert="horz" wrap="square" lIns="38100" tIns="19050" rIns="38100" bIns="19050" anchor="ctr" anchorCtr="1">
              <a:no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0330521154001072"/>
                  <c:h val="0.21516170412587499"/>
                </c:manualLayout>
              </c15:layout>
            </c:ext>
          </c:extLst>
        </c:dLbl>
      </c:pivotFmt>
      <c:pivotFmt>
        <c:idx val="11"/>
        <c:spPr>
          <a:solidFill>
            <a:schemeClr val="accent2">
              <a:shade val="90000"/>
            </a:schemeClr>
          </a:solidFill>
          <a:ln w="25400">
            <a:solidFill>
              <a:schemeClr val="lt1"/>
            </a:solidFill>
          </a:ln>
          <a:effectLst/>
          <a:sp3d contourW="25400">
            <a:contourClr>
              <a:schemeClr val="lt1"/>
            </a:contourClr>
          </a:sp3d>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702676240883023"/>
                  <c:h val="0.31296247872854543"/>
                </c:manualLayout>
              </c15:layout>
            </c:ext>
          </c:extLst>
        </c:dLbl>
      </c:pivotFmt>
      <c:pivotFmt>
        <c:idx val="12"/>
        <c:spPr>
          <a:solidFill>
            <a:schemeClr val="accent2">
              <a:tint val="90000"/>
            </a:schemeClr>
          </a:solidFill>
          <a:ln w="25400">
            <a:solidFill>
              <a:schemeClr val="lt1"/>
            </a:solidFill>
          </a:ln>
          <a:effectLst/>
          <a:sp3d contourW="25400">
            <a:contourClr>
              <a:schemeClr val="lt1"/>
            </a:contourClr>
          </a:sp3d>
        </c:spPr>
        <c:dLbl>
          <c:idx val="0"/>
          <c:spPr>
            <a:noFill/>
            <a:ln>
              <a:noFill/>
            </a:ln>
            <a:effectLst/>
          </c:spPr>
          <c:txPr>
            <a:bodyPr rot="0" spcFirstLastPara="1" vertOverflow="overflow" horzOverflow="overflow" vert="horz" wrap="square" lIns="38100" tIns="19050" rIns="38100" bIns="19050" anchor="ctr" anchorCtr="1">
              <a:no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516598697442047"/>
                  <c:h val="0.31296247872854543"/>
                </c:manualLayout>
              </c15:layout>
            </c:ext>
          </c:extLst>
        </c:dLbl>
      </c:pivotFmt>
      <c:pivotFmt>
        <c:idx val="13"/>
        <c:spPr>
          <a:solidFill>
            <a:schemeClr val="accent2">
              <a:tint val="70000"/>
            </a:schemeClr>
          </a:solidFill>
          <a:ln w="25400">
            <a:solidFill>
              <a:schemeClr val="lt1"/>
            </a:solidFill>
          </a:ln>
          <a:effectLst/>
          <a:sp3d contourW="25400">
            <a:contourClr>
              <a:schemeClr val="lt1"/>
            </a:contourClr>
          </a:sp3d>
        </c:spPr>
        <c:dLbl>
          <c:idx val="0"/>
          <c:layout>
            <c:manualLayout>
              <c:x val="-1.7488620347527805E-2"/>
              <c:y val="-7.3304546991603686E-2"/>
            </c:manualLayout>
          </c:layout>
          <c:spPr>
            <a:noFill/>
            <a:ln>
              <a:noFill/>
            </a:ln>
            <a:effectLst/>
          </c:spPr>
          <c:txPr>
            <a:bodyPr rot="0" spcFirstLastPara="1" vertOverflow="overflow" horzOverflow="overflow" vert="horz" wrap="square" lIns="38100" tIns="19050" rIns="38100" bIns="19050" anchor="ctr" anchorCtr="1">
              <a:no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079383188753854"/>
                  <c:h val="0.21516170412587499"/>
                </c:manualLayout>
              </c15:layout>
            </c:ext>
          </c:extLst>
        </c:dLbl>
      </c:pivotFmt>
      <c:pivotFmt>
        <c:idx val="14"/>
        <c:spPr>
          <a:solidFill>
            <a:schemeClr val="accent2">
              <a:tint val="50000"/>
            </a:schemeClr>
          </a:solidFill>
          <a:ln w="25400">
            <a:solidFill>
              <a:schemeClr val="lt1"/>
            </a:solidFill>
          </a:ln>
          <a:effectLst/>
          <a:sp3d contourW="25400">
            <a:contourClr>
              <a:schemeClr val="lt1"/>
            </a:contourClr>
          </a:sp3d>
        </c:spPr>
        <c:dLbl>
          <c:idx val="0"/>
          <c:layout>
            <c:manualLayout>
              <c:x val="-3.9349395781937559E-2"/>
              <c:y val="1.521345382708207E-2"/>
            </c:manualLayout>
          </c:layout>
          <c:spPr>
            <a:noFill/>
            <a:ln>
              <a:noFill/>
            </a:ln>
            <a:effectLst/>
          </c:spPr>
          <c:txPr>
            <a:bodyPr rot="0" spcFirstLastPara="1" vertOverflow="overflow" horzOverflow="overflow" vert="horz" wrap="square" lIns="38100" tIns="19050" rIns="38100" bIns="19050" anchor="ctr" anchorCtr="1">
              <a:no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139891749571219"/>
                  <c:h val="0.31296247872854543"/>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pivot_tabel!$AP$1</c:f>
              <c:strCache>
                <c:ptCount val="1"/>
                <c:pt idx="0">
                  <c:v>Total</c:v>
                </c:pt>
              </c:strCache>
            </c:strRef>
          </c:tx>
          <c:dPt>
            <c:idx val="0"/>
            <c:bubble3D val="0"/>
            <c:spPr>
              <a:solidFill>
                <a:schemeClr val="accent2">
                  <a:shade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C901-46D2-A37E-AB5AF78B102E}"/>
              </c:ext>
            </c:extLst>
          </c:dPt>
          <c:dPt>
            <c:idx val="1"/>
            <c:bubble3D val="0"/>
            <c:spPr>
              <a:solidFill>
                <a:schemeClr val="accent2">
                  <a:shade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C901-46D2-A37E-AB5AF78B102E}"/>
              </c:ext>
            </c:extLst>
          </c:dPt>
          <c:dPt>
            <c:idx val="2"/>
            <c:bubble3D val="0"/>
            <c:spPr>
              <a:solidFill>
                <a:schemeClr val="accent2">
                  <a:shade val="9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C901-46D2-A37E-AB5AF78B102E}"/>
              </c:ext>
            </c:extLst>
          </c:dPt>
          <c:dPt>
            <c:idx val="3"/>
            <c:bubble3D val="0"/>
            <c:spPr>
              <a:solidFill>
                <a:schemeClr val="accent2">
                  <a:tint val="9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C901-46D2-A37E-AB5AF78B102E}"/>
              </c:ext>
            </c:extLst>
          </c:dPt>
          <c:dPt>
            <c:idx val="4"/>
            <c:bubble3D val="0"/>
            <c:spPr>
              <a:solidFill>
                <a:schemeClr val="accent2">
                  <a:tint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C901-46D2-A37E-AB5AF78B102E}"/>
              </c:ext>
            </c:extLst>
          </c:dPt>
          <c:dPt>
            <c:idx val="5"/>
            <c:bubble3D val="0"/>
            <c:spPr>
              <a:solidFill>
                <a:schemeClr val="accent2">
                  <a:tint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C901-46D2-A37E-AB5AF78B102E}"/>
              </c:ext>
            </c:extLst>
          </c:dPt>
          <c:dLbls>
            <c:dLbl>
              <c:idx val="0"/>
              <c:layout>
                <c:manualLayout>
                  <c:x val="6.5673024350321407E-2"/>
                  <c:y val="-2.1579328511054662E-2"/>
                </c:manualLayout>
              </c:layout>
              <c:spPr>
                <a:noFill/>
                <a:ln>
                  <a:noFill/>
                </a:ln>
                <a:effectLst/>
              </c:spPr>
              <c:txPr>
                <a:bodyPr rot="0" spcFirstLastPara="1" vertOverflow="overflow" horzOverflow="overflow" vert="horz" wrap="square" lIns="38100" tIns="19050" rIns="38100" bIns="19050" anchor="ctr" anchorCtr="1">
                  <a:no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065843278551722"/>
                      <c:h val="0.17604139428480681"/>
                    </c:manualLayout>
                  </c15:layout>
                </c:ext>
                <c:ext xmlns:c16="http://schemas.microsoft.com/office/drawing/2014/chart" uri="{C3380CC4-5D6E-409C-BE32-E72D297353CC}">
                  <c16:uniqueId val="{00000001-C901-46D2-A37E-AB5AF78B102E}"/>
                </c:ext>
              </c:extLst>
            </c:dLbl>
            <c:dLbl>
              <c:idx val="1"/>
              <c:spPr>
                <a:noFill/>
                <a:ln>
                  <a:noFill/>
                </a:ln>
                <a:effectLst/>
              </c:spPr>
              <c:txPr>
                <a:bodyPr rot="0" spcFirstLastPara="1" vertOverflow="overflow" horzOverflow="overflow" vert="horz" wrap="square" lIns="38100" tIns="19050" rIns="38100" bIns="19050" anchor="ctr" anchorCtr="1">
                  <a:no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0330521154001072"/>
                      <c:h val="0.21516170412587499"/>
                    </c:manualLayout>
                  </c15:layout>
                </c:ext>
                <c:ext xmlns:c16="http://schemas.microsoft.com/office/drawing/2014/chart" uri="{C3380CC4-5D6E-409C-BE32-E72D297353CC}">
                  <c16:uniqueId val="{00000003-C901-46D2-A37E-AB5AF78B102E}"/>
                </c:ext>
              </c:extLst>
            </c:dLbl>
            <c:dLbl>
              <c:idx val="2"/>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702676240883023"/>
                      <c:h val="0.31296247872854543"/>
                    </c:manualLayout>
                  </c15:layout>
                </c:ext>
                <c:ext xmlns:c16="http://schemas.microsoft.com/office/drawing/2014/chart" uri="{C3380CC4-5D6E-409C-BE32-E72D297353CC}">
                  <c16:uniqueId val="{00000005-C901-46D2-A37E-AB5AF78B102E}"/>
                </c:ext>
              </c:extLst>
            </c:dLbl>
            <c:dLbl>
              <c:idx val="3"/>
              <c:spPr>
                <a:noFill/>
                <a:ln>
                  <a:noFill/>
                </a:ln>
                <a:effectLst/>
              </c:spPr>
              <c:txPr>
                <a:bodyPr rot="0" spcFirstLastPara="1" vertOverflow="overflow" horzOverflow="overflow" vert="horz" wrap="square" lIns="38100" tIns="19050" rIns="38100" bIns="19050" anchor="ctr" anchorCtr="1">
                  <a:no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516598697442047"/>
                      <c:h val="0.31296247872854543"/>
                    </c:manualLayout>
                  </c15:layout>
                </c:ext>
                <c:ext xmlns:c16="http://schemas.microsoft.com/office/drawing/2014/chart" uri="{C3380CC4-5D6E-409C-BE32-E72D297353CC}">
                  <c16:uniqueId val="{00000007-C901-46D2-A37E-AB5AF78B102E}"/>
                </c:ext>
              </c:extLst>
            </c:dLbl>
            <c:dLbl>
              <c:idx val="4"/>
              <c:layout>
                <c:manualLayout>
                  <c:x val="-1.7488620347527805E-2"/>
                  <c:y val="-7.3304546991603686E-2"/>
                </c:manualLayout>
              </c:layout>
              <c:spPr>
                <a:noFill/>
                <a:ln>
                  <a:noFill/>
                </a:ln>
                <a:effectLst/>
              </c:spPr>
              <c:txPr>
                <a:bodyPr rot="0" spcFirstLastPara="1" vertOverflow="overflow" horzOverflow="overflow" vert="horz" wrap="square" lIns="38100" tIns="19050" rIns="38100" bIns="19050" anchor="ctr" anchorCtr="1">
                  <a:no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079383188753854"/>
                      <c:h val="0.21516170412587499"/>
                    </c:manualLayout>
                  </c15:layout>
                </c:ext>
                <c:ext xmlns:c16="http://schemas.microsoft.com/office/drawing/2014/chart" uri="{C3380CC4-5D6E-409C-BE32-E72D297353CC}">
                  <c16:uniqueId val="{00000009-C901-46D2-A37E-AB5AF78B102E}"/>
                </c:ext>
              </c:extLst>
            </c:dLbl>
            <c:dLbl>
              <c:idx val="5"/>
              <c:layout>
                <c:manualLayout>
                  <c:x val="-3.9349395781937559E-2"/>
                  <c:y val="1.521345382708207E-2"/>
                </c:manualLayout>
              </c:layout>
              <c:spPr>
                <a:noFill/>
                <a:ln>
                  <a:noFill/>
                </a:ln>
                <a:effectLst/>
              </c:spPr>
              <c:txPr>
                <a:bodyPr rot="0" spcFirstLastPara="1" vertOverflow="overflow" horzOverflow="overflow" vert="horz" wrap="square" lIns="38100" tIns="19050" rIns="38100" bIns="19050" anchor="ctr" anchorCtr="1">
                  <a:no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139891749571219"/>
                      <c:h val="0.31296247872854543"/>
                    </c:manualLayout>
                  </c15:layout>
                </c:ext>
                <c:ext xmlns:c16="http://schemas.microsoft.com/office/drawing/2014/chart" uri="{C3380CC4-5D6E-409C-BE32-E72D297353CC}">
                  <c16:uniqueId val="{0000000B-C901-46D2-A37E-AB5AF78B10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pivot_tabel!$AO$2:$AO$8</c:f>
              <c:strCache>
                <c:ptCount val="6"/>
                <c:pt idx="0">
                  <c:v>Australia</c:v>
                </c:pt>
                <c:pt idx="1">
                  <c:v>Canada</c:v>
                </c:pt>
                <c:pt idx="2">
                  <c:v>India</c:v>
                </c:pt>
                <c:pt idx="3">
                  <c:v>New Zealand</c:v>
                </c:pt>
                <c:pt idx="4">
                  <c:v>UK</c:v>
                </c:pt>
                <c:pt idx="5">
                  <c:v>USA</c:v>
                </c:pt>
              </c:strCache>
            </c:strRef>
          </c:cat>
          <c:val>
            <c:numRef>
              <c:f>pivot_tabel!$AP$2:$AP$8</c:f>
              <c:numCache>
                <c:formatCode>[$$-409]#,##0.000</c:formatCode>
                <c:ptCount val="6"/>
                <c:pt idx="0">
                  <c:v>14312.178999999998</c:v>
                </c:pt>
                <c:pt idx="1">
                  <c:v>9543.3100000000031</c:v>
                </c:pt>
                <c:pt idx="2">
                  <c:v>11066.769</c:v>
                </c:pt>
                <c:pt idx="3">
                  <c:v>8558.8019999999997</c:v>
                </c:pt>
                <c:pt idx="4">
                  <c:v>6807.0309999999999</c:v>
                </c:pt>
                <c:pt idx="5">
                  <c:v>13657.714</c:v>
                </c:pt>
              </c:numCache>
            </c:numRef>
          </c:val>
          <c:extLst>
            <c:ext xmlns:c16="http://schemas.microsoft.com/office/drawing/2014/chart" uri="{C3380CC4-5D6E-409C-BE32-E72D297353CC}">
              <c16:uniqueId val="{0000000C-C901-46D2-A37E-AB5AF78B102E}"/>
            </c:ext>
          </c:extLst>
        </c:ser>
        <c:dLbls>
          <c:showLegendKey val="0"/>
          <c:showVal val="1"/>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[Chocolate Sales Analysis.xlsx]pivot_tabel!PivotTable11</c:name>
    <c:fmtId val="8"/>
  </c:pivotSource>
  <c:chart>
    <c:autoTitleDeleted val="1"/>
    <c:pivotFmts>
      <c:pivotFmt>
        <c:idx val="0"/>
        <c:spPr>
          <a:solidFill>
            <a:schemeClr val="accent2"/>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shade val="50000"/>
            </a:schemeClr>
          </a:solidFill>
          <a:ln w="25400">
            <a:solidFill>
              <a:schemeClr val="lt1"/>
            </a:solidFill>
          </a:ln>
          <a:effectLst/>
          <a:sp3d contourW="25400">
            <a:contourClr>
              <a:schemeClr val="lt1"/>
            </a:contourClr>
          </a:sp3d>
        </c:spPr>
      </c:pivotFmt>
      <c:pivotFmt>
        <c:idx val="3"/>
        <c:spPr>
          <a:solidFill>
            <a:schemeClr val="accent2">
              <a:shade val="70000"/>
            </a:schemeClr>
          </a:solidFill>
          <a:ln w="25400">
            <a:solidFill>
              <a:schemeClr val="lt1"/>
            </a:solidFill>
          </a:ln>
          <a:effectLst/>
          <a:sp3d contourW="25400">
            <a:contourClr>
              <a:schemeClr val="lt1"/>
            </a:contourClr>
          </a:sp3d>
        </c:spPr>
      </c:pivotFmt>
      <c:pivotFmt>
        <c:idx val="4"/>
        <c:spPr>
          <a:solidFill>
            <a:schemeClr val="accent2">
              <a:shade val="90000"/>
            </a:schemeClr>
          </a:solidFill>
          <a:ln w="25400">
            <a:solidFill>
              <a:schemeClr val="lt1"/>
            </a:solidFill>
          </a:ln>
          <a:effectLst/>
          <a:sp3d contourW="25400">
            <a:contourClr>
              <a:schemeClr val="lt1"/>
            </a:contourClr>
          </a:sp3d>
        </c:spPr>
      </c:pivotFmt>
      <c:pivotFmt>
        <c:idx val="5"/>
        <c:spPr>
          <a:solidFill>
            <a:schemeClr val="accent2"/>
          </a:solidFill>
          <a:ln w="25400">
            <a:solidFill>
              <a:schemeClr val="lt1"/>
            </a:solidFill>
          </a:ln>
          <a:effectLst/>
          <a:sp3d contourW="25400">
            <a:contourClr>
              <a:schemeClr val="lt1"/>
            </a:contourClr>
          </a:sp3d>
        </c:spPr>
      </c:pivotFmt>
      <c:pivotFmt>
        <c:idx val="6"/>
        <c:spPr>
          <a:solidFill>
            <a:schemeClr val="accent2">
              <a:tint val="70000"/>
            </a:schemeClr>
          </a:solidFill>
          <a:ln w="25400">
            <a:solidFill>
              <a:schemeClr val="lt1"/>
            </a:solidFill>
          </a:ln>
          <a:effectLst/>
          <a:sp3d contourW="25400">
            <a:contourClr>
              <a:schemeClr val="lt1"/>
            </a:contourClr>
          </a:sp3d>
        </c:spPr>
      </c:pivotFmt>
      <c:pivotFmt>
        <c:idx val="7"/>
        <c:spPr>
          <a:solidFill>
            <a:schemeClr val="accent2"/>
          </a:solidFill>
          <a:ln w="25400">
            <a:solidFill>
              <a:schemeClr val="lt1"/>
            </a:solidFill>
          </a:ln>
          <a:effectLst/>
          <a:sp3d contourW="25400">
            <a:contourClr>
              <a:schemeClr val="lt1"/>
            </a:contourClr>
          </a:sp3d>
        </c:spPr>
      </c:pivotFmt>
      <c:pivotFmt>
        <c:idx val="8"/>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2">
              <a:shade val="50000"/>
            </a:schemeClr>
          </a:solidFill>
          <a:ln w="25400">
            <a:solidFill>
              <a:schemeClr val="lt1"/>
            </a:solidFill>
          </a:ln>
          <a:effectLst/>
          <a:sp3d contourW="25400">
            <a:contourClr>
              <a:schemeClr val="lt1"/>
            </a:contourClr>
          </a:sp3d>
        </c:spPr>
        <c:dLbl>
          <c:idx val="0"/>
          <c:layout>
            <c:manualLayout>
              <c:x val="2.4207242342066608E-2"/>
              <c:y val="-5.1964016985056602E-3"/>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2">
              <a:shade val="70000"/>
            </a:schemeClr>
          </a:solidFill>
          <a:ln w="25400">
            <a:solidFill>
              <a:schemeClr val="lt1"/>
            </a:solidFill>
          </a:ln>
          <a:effectLst/>
          <a:sp3d contourW="25400">
            <a:contourClr>
              <a:schemeClr val="lt1"/>
            </a:contourClr>
          </a:sp3d>
        </c:spPr>
        <c:dLbl>
          <c:idx val="0"/>
          <c:layout>
            <c:manualLayout>
              <c:x val="1.3333638505715634E-2"/>
              <c:y val="-6.9008981375866266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2">
              <a:shade val="90000"/>
            </a:schemeClr>
          </a:solidFill>
          <a:ln w="25400">
            <a:solidFill>
              <a:schemeClr val="lt1"/>
            </a:solidFill>
          </a:ln>
          <a:effectLst/>
          <a:sp3d contourW="25400">
            <a:contourClr>
              <a:schemeClr val="lt1"/>
            </a:contourClr>
          </a:sp3d>
        </c:spPr>
        <c:dLbl>
          <c:idx val="0"/>
          <c:layout>
            <c:manualLayout>
              <c:x val="3.1836273457620988E-2"/>
              <c:y val="-2.9593849147392333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2"/>
          </a:solidFill>
          <a:ln w="25400">
            <a:solidFill>
              <a:schemeClr val="lt1"/>
            </a:solidFill>
          </a:ln>
          <a:effectLst/>
          <a:sp3d contourW="25400">
            <a:contourClr>
              <a:schemeClr val="lt1"/>
            </a:contourClr>
          </a:sp3d>
        </c:spPr>
        <c:dLbl>
          <c:idx val="0"/>
          <c:layout>
            <c:manualLayout>
              <c:x val="-1.0741956480190749E-2"/>
              <c:y val="7.9341876982947854E-3"/>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2">
              <a:tint val="70000"/>
            </a:schemeClr>
          </a:solidFill>
          <a:ln w="25400">
            <a:solidFill>
              <a:schemeClr val="lt1"/>
            </a:solidFill>
          </a:ln>
          <a:effectLst/>
          <a:sp3d contourW="25400">
            <a:contourClr>
              <a:schemeClr val="lt1"/>
            </a:contourClr>
          </a:sp3d>
        </c:spPr>
        <c:dLbl>
          <c:idx val="0"/>
          <c:layout>
            <c:manualLayout>
              <c:x val="1.3069842597876802E-2"/>
              <c:y val="-3.4391264964965959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2"/>
          </a:solidFill>
          <a:ln w="25400">
            <a:solidFill>
              <a:schemeClr val="lt1"/>
            </a:solidFill>
          </a:ln>
          <a:effectLst/>
          <a:sp3d contourW="25400">
            <a:contourClr>
              <a:schemeClr val="lt1"/>
            </a:contourClr>
          </a:sp3d>
        </c:spPr>
        <c:dLbl>
          <c:idx val="0"/>
          <c:layout>
            <c:manualLayout>
              <c:x val="-9.2310190574583905E-3"/>
              <c:y val="5.2101804901895005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181079936007358"/>
                  <c:h val="0.1760198702157639"/>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pivot_tabel!$O$1</c:f>
              <c:strCache>
                <c:ptCount val="1"/>
                <c:pt idx="0">
                  <c:v>Total</c:v>
                </c:pt>
              </c:strCache>
            </c:strRef>
          </c:tx>
          <c:dPt>
            <c:idx val="0"/>
            <c:bubble3D val="0"/>
            <c:spPr>
              <a:solidFill>
                <a:schemeClr val="accent2">
                  <a:shade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D734-4BA3-80FE-392611CFFC54}"/>
              </c:ext>
            </c:extLst>
          </c:dPt>
          <c:dPt>
            <c:idx val="1"/>
            <c:bubble3D val="0"/>
            <c:spPr>
              <a:solidFill>
                <a:schemeClr val="accent2">
                  <a:shade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D734-4BA3-80FE-392611CFFC54}"/>
              </c:ext>
            </c:extLst>
          </c:dPt>
          <c:dPt>
            <c:idx val="2"/>
            <c:bubble3D val="0"/>
            <c:spPr>
              <a:solidFill>
                <a:schemeClr val="accent2">
                  <a:shade val="9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D734-4BA3-80FE-392611CFFC54}"/>
              </c:ext>
            </c:extLst>
          </c:dPt>
          <c:dPt>
            <c:idx val="3"/>
            <c:bubble3D val="0"/>
            <c:spPr>
              <a:solidFill>
                <a:schemeClr val="accent2">
                  <a:tint val="9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D734-4BA3-80FE-392611CFFC54}"/>
              </c:ext>
            </c:extLst>
          </c:dPt>
          <c:dPt>
            <c:idx val="4"/>
            <c:bubble3D val="0"/>
            <c:spPr>
              <a:solidFill>
                <a:schemeClr val="accent2">
                  <a:tint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D734-4BA3-80FE-392611CFFC54}"/>
              </c:ext>
            </c:extLst>
          </c:dPt>
          <c:dPt>
            <c:idx val="5"/>
            <c:bubble3D val="0"/>
            <c:spPr>
              <a:solidFill>
                <a:schemeClr val="accent2">
                  <a:tint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D734-4BA3-80FE-392611CFFC54}"/>
              </c:ext>
            </c:extLst>
          </c:dPt>
          <c:dLbls>
            <c:dLbl>
              <c:idx val="0"/>
              <c:layout>
                <c:manualLayout>
                  <c:x val="2.4207242342066608E-2"/>
                  <c:y val="-5.1964016985056602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34-4BA3-80FE-392611CFFC54}"/>
                </c:ext>
              </c:extLst>
            </c:dLbl>
            <c:dLbl>
              <c:idx val="1"/>
              <c:layout>
                <c:manualLayout>
                  <c:x val="1.3333638505715634E-2"/>
                  <c:y val="-6.900898137586626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34-4BA3-80FE-392611CFFC54}"/>
                </c:ext>
              </c:extLst>
            </c:dLbl>
            <c:dLbl>
              <c:idx val="2"/>
              <c:layout>
                <c:manualLayout>
                  <c:x val="3.1836273457620988E-2"/>
                  <c:y val="-2.959384914739233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34-4BA3-80FE-392611CFFC54}"/>
                </c:ext>
              </c:extLst>
            </c:dLbl>
            <c:dLbl>
              <c:idx val="3"/>
              <c:layout>
                <c:manualLayout>
                  <c:x val="-1.0741956480190749E-2"/>
                  <c:y val="7.9341876982947854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734-4BA3-80FE-392611CFFC54}"/>
                </c:ext>
              </c:extLst>
            </c:dLbl>
            <c:dLbl>
              <c:idx val="4"/>
              <c:layout>
                <c:manualLayout>
                  <c:x val="1.3069842597876802E-2"/>
                  <c:y val="-3.439126496496595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734-4BA3-80FE-392611CFFC54}"/>
                </c:ext>
              </c:extLst>
            </c:dLbl>
            <c:dLbl>
              <c:idx val="5"/>
              <c:layout>
                <c:manualLayout>
                  <c:x val="-9.2310190574583905E-3"/>
                  <c:y val="5.2101804901895005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181079936007358"/>
                      <c:h val="0.1760198702157639"/>
                    </c:manualLayout>
                  </c15:layout>
                </c:ext>
                <c:ext xmlns:c16="http://schemas.microsoft.com/office/drawing/2014/chart" uri="{C3380CC4-5D6E-409C-BE32-E72D297353CC}">
                  <c16:uniqueId val="{0000000B-D734-4BA3-80FE-392611CFFC54}"/>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pivot_tabel!$N$2:$N$8</c:f>
              <c:strCache>
                <c:ptCount val="6"/>
                <c:pt idx="0">
                  <c:v>Australia</c:v>
                </c:pt>
                <c:pt idx="1">
                  <c:v>India</c:v>
                </c:pt>
                <c:pt idx="2">
                  <c:v>USA</c:v>
                </c:pt>
                <c:pt idx="3">
                  <c:v>UK</c:v>
                </c:pt>
                <c:pt idx="4">
                  <c:v>Canada</c:v>
                </c:pt>
                <c:pt idx="5">
                  <c:v>New Zealand</c:v>
                </c:pt>
              </c:strCache>
            </c:strRef>
          </c:cat>
          <c:val>
            <c:numRef>
              <c:f>pivot_tabel!$O$2:$O$8</c:f>
              <c:numCache>
                <c:formatCode>General</c:formatCode>
                <c:ptCount val="6"/>
                <c:pt idx="0">
                  <c:v>205</c:v>
                </c:pt>
                <c:pt idx="1">
                  <c:v>184</c:v>
                </c:pt>
                <c:pt idx="2">
                  <c:v>179</c:v>
                </c:pt>
                <c:pt idx="3">
                  <c:v>178</c:v>
                </c:pt>
                <c:pt idx="4">
                  <c:v>175</c:v>
                </c:pt>
                <c:pt idx="5">
                  <c:v>173</c:v>
                </c:pt>
              </c:numCache>
            </c:numRef>
          </c:val>
          <c:extLst>
            <c:ext xmlns:c16="http://schemas.microsoft.com/office/drawing/2014/chart" uri="{C3380CC4-5D6E-409C-BE32-E72D297353CC}">
              <c16:uniqueId val="{0000000C-D734-4BA3-80FE-392611CFFC54}"/>
            </c:ext>
          </c:extLst>
        </c:ser>
        <c:dLbls>
          <c:showLegendKey val="0"/>
          <c:showVal val="1"/>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[Chocolate Sales Analysis.xlsx]pivot_tabel!PivotTable17</c:name>
    <c:fmtId val="7"/>
  </c:pivotSource>
  <c:chart>
    <c:autoTitleDeleted val="1"/>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shade val="50000"/>
            </a:schemeClr>
          </a:solidFill>
          <a:ln w="25400">
            <a:solidFill>
              <a:schemeClr val="lt1"/>
            </a:solidFill>
          </a:ln>
          <a:effectLst/>
          <a:sp3d contourW="25400">
            <a:contourClr>
              <a:schemeClr val="lt1"/>
            </a:contourClr>
          </a:sp3d>
        </c:spPr>
      </c:pivotFmt>
      <c:pivotFmt>
        <c:idx val="3"/>
        <c:spPr>
          <a:solidFill>
            <a:schemeClr val="accent2">
              <a:shade val="70000"/>
            </a:schemeClr>
          </a:solidFill>
          <a:ln w="25400">
            <a:solidFill>
              <a:schemeClr val="lt1"/>
            </a:solidFill>
          </a:ln>
          <a:effectLst/>
          <a:sp3d contourW="25400">
            <a:contourClr>
              <a:schemeClr val="lt1"/>
            </a:contourClr>
          </a:sp3d>
        </c:spPr>
      </c:pivotFmt>
      <c:pivotFmt>
        <c:idx val="4"/>
        <c:spPr>
          <a:solidFill>
            <a:schemeClr val="accent2">
              <a:shade val="90000"/>
            </a:schemeClr>
          </a:solidFill>
          <a:ln w="25400">
            <a:solidFill>
              <a:schemeClr val="lt1"/>
            </a:solidFill>
          </a:ln>
          <a:effectLst/>
          <a:sp3d contourW="25400">
            <a:contourClr>
              <a:schemeClr val="lt1"/>
            </a:contourClr>
          </a:sp3d>
        </c:spPr>
      </c:pivotFmt>
      <c:pivotFmt>
        <c:idx val="5"/>
        <c:spPr>
          <a:solidFill>
            <a:schemeClr val="accent2"/>
          </a:solidFill>
          <a:ln w="25400">
            <a:solidFill>
              <a:schemeClr val="lt1"/>
            </a:solidFill>
          </a:ln>
          <a:effectLst/>
          <a:sp3d contourW="25400">
            <a:contourClr>
              <a:schemeClr val="lt1"/>
            </a:contourClr>
          </a:sp3d>
        </c:spPr>
      </c:pivotFmt>
      <c:pivotFmt>
        <c:idx val="6"/>
        <c:spPr>
          <a:solidFill>
            <a:schemeClr val="accent2">
              <a:tint val="70000"/>
            </a:schemeClr>
          </a:solidFill>
          <a:ln w="25400">
            <a:solidFill>
              <a:schemeClr val="lt1"/>
            </a:solidFill>
          </a:ln>
          <a:effectLst/>
          <a:sp3d contourW="25400">
            <a:contourClr>
              <a:schemeClr val="lt1"/>
            </a:contourClr>
          </a:sp3d>
        </c:spPr>
      </c:pivotFmt>
      <c:pivotFmt>
        <c:idx val="7"/>
        <c:spPr>
          <a:solidFill>
            <a:schemeClr val="accent2"/>
          </a:solidFill>
          <a:ln w="25400">
            <a:solidFill>
              <a:schemeClr val="lt1"/>
            </a:solidFill>
          </a:ln>
          <a:effectLst/>
          <a:sp3d contourW="25400">
            <a:contourClr>
              <a:schemeClr val="lt1"/>
            </a:contourClr>
          </a:sp3d>
        </c:spPr>
      </c:pivotFmt>
      <c:pivotFmt>
        <c:idx val="8"/>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2">
              <a:shade val="50000"/>
            </a:schemeClr>
          </a:solidFill>
          <a:ln w="25400">
            <a:solidFill>
              <a:schemeClr val="lt1"/>
            </a:solidFill>
          </a:ln>
          <a:effectLst/>
          <a:sp3d contourW="25400">
            <a:contourClr>
              <a:schemeClr val="lt1"/>
            </a:contourClr>
          </a:sp3d>
        </c:spPr>
        <c:dLbl>
          <c:idx val="0"/>
          <c:layout>
            <c:manualLayout>
              <c:x val="-7.5072570341803743E-2"/>
              <c:y val="-1.2004855896767232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7880872545989016"/>
                  <c:h val="0.19414594667505958"/>
                </c:manualLayout>
              </c15:layout>
            </c:ext>
          </c:extLst>
        </c:dLbl>
      </c:pivotFmt>
      <c:pivotFmt>
        <c:idx val="10"/>
        <c:spPr>
          <a:solidFill>
            <a:schemeClr val="accent2">
              <a:shade val="70000"/>
            </a:schemeClr>
          </a:solidFill>
          <a:ln w="25400">
            <a:solidFill>
              <a:schemeClr val="lt1"/>
            </a:solidFill>
          </a:ln>
          <a:effectLst/>
          <a:sp3d contourW="25400">
            <a:contourClr>
              <a:schemeClr val="lt1"/>
            </a:contourClr>
          </a:sp3d>
        </c:spPr>
        <c:dLbl>
          <c:idx val="0"/>
          <c:layout>
            <c:manualLayout>
              <c:x val="-2.7459687303204917E-3"/>
              <c:y val="-0.2731124200050956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2">
              <a:shade val="90000"/>
            </a:schemeClr>
          </a:solidFill>
          <a:ln w="25400">
            <a:solidFill>
              <a:schemeClr val="lt1"/>
            </a:solidFill>
          </a:ln>
          <a:effectLst/>
          <a:sp3d contourW="25400">
            <a:contourClr>
              <a:schemeClr val="lt1"/>
            </a:contourClr>
          </a:sp3d>
        </c:spPr>
        <c:dLbl>
          <c:idx val="0"/>
          <c:layout>
            <c:manualLayout>
              <c:x val="3.645324720260347E-2"/>
              <c:y val="-2.2768760397464142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2"/>
          </a:solidFill>
          <a:ln w="25400">
            <a:solidFill>
              <a:schemeClr val="lt1"/>
            </a:solidFill>
          </a:ln>
          <a:effectLst/>
          <a:sp3d contourW="25400">
            <a:contourClr>
              <a:schemeClr val="lt1"/>
            </a:contourClr>
          </a:sp3d>
        </c:spPr>
        <c:dLbl>
          <c:idx val="0"/>
          <c:layout>
            <c:manualLayout>
              <c:x val="-3.643275489864585E-2"/>
              <c:y val="1.566656175531675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2">
              <a:tint val="70000"/>
            </a:schemeClr>
          </a:solidFill>
          <a:ln w="25400">
            <a:solidFill>
              <a:schemeClr val="lt1"/>
            </a:solidFill>
          </a:ln>
          <a:effectLst/>
          <a:sp3d contourW="25400">
            <a:contourClr>
              <a:schemeClr val="lt1"/>
            </a:contourClr>
          </a:sp3d>
        </c:spPr>
        <c:dLbl>
          <c:idx val="0"/>
          <c:layout>
            <c:manualLayout>
              <c:x val="4.8531292930391575E-3"/>
              <c:y val="-0.10355409678821399"/>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2"/>
          </a:solidFill>
          <a:ln w="25400">
            <a:solidFill>
              <a:schemeClr val="lt1"/>
            </a:solidFill>
          </a:ln>
          <a:effectLst/>
          <a:sp3d contourW="25400">
            <a:contourClr>
              <a:schemeClr val="lt1"/>
            </a:contourClr>
          </a:sp3d>
        </c:spPr>
        <c:dLbl>
          <c:idx val="0"/>
          <c:layout>
            <c:manualLayout>
              <c:x val="-1.6858072667286186E-2"/>
              <c:y val="-1.7261214273938522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pivot_tabel!$J$30</c:f>
              <c:strCache>
                <c:ptCount val="1"/>
                <c:pt idx="0">
                  <c:v>Total</c:v>
                </c:pt>
              </c:strCache>
            </c:strRef>
          </c:tx>
          <c:dPt>
            <c:idx val="0"/>
            <c:bubble3D val="0"/>
            <c:spPr>
              <a:solidFill>
                <a:schemeClr val="accent2">
                  <a:shade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83B7-41D4-B44A-14CE5151F94F}"/>
              </c:ext>
            </c:extLst>
          </c:dPt>
          <c:dPt>
            <c:idx val="1"/>
            <c:bubble3D val="0"/>
            <c:spPr>
              <a:solidFill>
                <a:schemeClr val="accent2">
                  <a:shade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83B7-41D4-B44A-14CE5151F94F}"/>
              </c:ext>
            </c:extLst>
          </c:dPt>
          <c:dPt>
            <c:idx val="2"/>
            <c:bubble3D val="0"/>
            <c:spPr>
              <a:solidFill>
                <a:schemeClr val="accent2">
                  <a:shade val="9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83B7-41D4-B44A-14CE5151F94F}"/>
              </c:ext>
            </c:extLst>
          </c:dPt>
          <c:dPt>
            <c:idx val="3"/>
            <c:bubble3D val="0"/>
            <c:spPr>
              <a:solidFill>
                <a:schemeClr val="accent2">
                  <a:tint val="9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83B7-41D4-B44A-14CE5151F94F}"/>
              </c:ext>
            </c:extLst>
          </c:dPt>
          <c:dPt>
            <c:idx val="4"/>
            <c:bubble3D val="0"/>
            <c:spPr>
              <a:solidFill>
                <a:schemeClr val="accent2">
                  <a:tint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83B7-41D4-B44A-14CE5151F94F}"/>
              </c:ext>
            </c:extLst>
          </c:dPt>
          <c:dPt>
            <c:idx val="5"/>
            <c:bubble3D val="0"/>
            <c:spPr>
              <a:solidFill>
                <a:schemeClr val="accent2">
                  <a:tint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83B7-41D4-B44A-14CE5151F94F}"/>
              </c:ext>
            </c:extLst>
          </c:dPt>
          <c:dLbls>
            <c:dLbl>
              <c:idx val="0"/>
              <c:layout>
                <c:manualLayout>
                  <c:x val="-7.5072570341803743E-2"/>
                  <c:y val="-1.2004855896767232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7880872545989016"/>
                      <c:h val="0.19414594667505958"/>
                    </c:manualLayout>
                  </c15:layout>
                </c:ext>
                <c:ext xmlns:c16="http://schemas.microsoft.com/office/drawing/2014/chart" uri="{C3380CC4-5D6E-409C-BE32-E72D297353CC}">
                  <c16:uniqueId val="{00000001-83B7-41D4-B44A-14CE5151F94F}"/>
                </c:ext>
              </c:extLst>
            </c:dLbl>
            <c:dLbl>
              <c:idx val="1"/>
              <c:layout>
                <c:manualLayout>
                  <c:x val="-2.7459687303204917E-3"/>
                  <c:y val="-0.2731124200050956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3B7-41D4-B44A-14CE5151F94F}"/>
                </c:ext>
              </c:extLst>
            </c:dLbl>
            <c:dLbl>
              <c:idx val="2"/>
              <c:layout>
                <c:manualLayout>
                  <c:x val="3.645324720260347E-2"/>
                  <c:y val="-2.2768760397464142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3B7-41D4-B44A-14CE5151F94F}"/>
                </c:ext>
              </c:extLst>
            </c:dLbl>
            <c:dLbl>
              <c:idx val="3"/>
              <c:layout>
                <c:manualLayout>
                  <c:x val="-3.643275489864585E-2"/>
                  <c:y val="1.566656175531675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3B7-41D4-B44A-14CE5151F94F}"/>
                </c:ext>
              </c:extLst>
            </c:dLbl>
            <c:dLbl>
              <c:idx val="4"/>
              <c:layout>
                <c:manualLayout>
                  <c:x val="4.8531292930391575E-3"/>
                  <c:y val="-0.10355409678821399"/>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3B7-41D4-B44A-14CE5151F94F}"/>
                </c:ext>
              </c:extLst>
            </c:dLbl>
            <c:dLbl>
              <c:idx val="5"/>
              <c:layout>
                <c:manualLayout>
                  <c:x val="-1.6858072667286186E-2"/>
                  <c:y val="-1.7261214273938522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3B7-41D4-B44A-14CE5151F9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pivot_tabel!$I$31:$I$37</c:f>
              <c:strCache>
                <c:ptCount val="6"/>
                <c:pt idx="0">
                  <c:v>Australia</c:v>
                </c:pt>
                <c:pt idx="1">
                  <c:v>Canada</c:v>
                </c:pt>
                <c:pt idx="2">
                  <c:v>India</c:v>
                </c:pt>
                <c:pt idx="3">
                  <c:v>New Zealand</c:v>
                </c:pt>
                <c:pt idx="4">
                  <c:v>UK</c:v>
                </c:pt>
                <c:pt idx="5">
                  <c:v>USA</c:v>
                </c:pt>
              </c:strCache>
            </c:strRef>
          </c:cat>
          <c:val>
            <c:numRef>
              <c:f>pivot_tabel!$J$31:$J$37</c:f>
              <c:numCache>
                <c:formatCode>0</c:formatCode>
                <c:ptCount val="6"/>
                <c:pt idx="0">
                  <c:v>32647</c:v>
                </c:pt>
                <c:pt idx="1">
                  <c:v>31221</c:v>
                </c:pt>
                <c:pt idx="2">
                  <c:v>29470</c:v>
                </c:pt>
                <c:pt idx="3">
                  <c:v>26580</c:v>
                </c:pt>
                <c:pt idx="4">
                  <c:v>30265</c:v>
                </c:pt>
                <c:pt idx="5">
                  <c:v>26824</c:v>
                </c:pt>
              </c:numCache>
            </c:numRef>
          </c:val>
          <c:extLst>
            <c:ext xmlns:c16="http://schemas.microsoft.com/office/drawing/2014/chart" uri="{C3380CC4-5D6E-409C-BE32-E72D297353CC}">
              <c16:uniqueId val="{0000000C-83B7-41D4-B44A-14CE5151F94F}"/>
            </c:ext>
          </c:extLst>
        </c:ser>
        <c:dLbls>
          <c:showLegendKey val="0"/>
          <c:showVal val="1"/>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104775</xdr:colOff>
      <xdr:row>0</xdr:row>
      <xdr:rowOff>0</xdr:rowOff>
    </xdr:from>
    <xdr:to>
      <xdr:col>12</xdr:col>
      <xdr:colOff>285750</xdr:colOff>
      <xdr:row>13</xdr:row>
      <xdr:rowOff>71438</xdr:rowOff>
    </xdr:to>
    <xdr:graphicFrame macro="">
      <xdr:nvGraphicFramePr>
        <xdr:cNvPr id="2" name="Chart 1">
          <a:extLst>
            <a:ext uri="{FF2B5EF4-FFF2-40B4-BE49-F238E27FC236}">
              <a16:creationId xmlns:a16="http://schemas.microsoft.com/office/drawing/2014/main" id="{BB97B872-785F-054D-29D4-5F1DFA663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95250</xdr:colOff>
      <xdr:row>13</xdr:row>
      <xdr:rowOff>180974</xdr:rowOff>
    </xdr:from>
    <xdr:to>
      <xdr:col>12</xdr:col>
      <xdr:colOff>333375</xdr:colOff>
      <xdr:row>27</xdr:row>
      <xdr:rowOff>80961</xdr:rowOff>
    </xdr:to>
    <xdr:graphicFrame macro="">
      <xdr:nvGraphicFramePr>
        <xdr:cNvPr id="3" name="Chart 2">
          <a:extLst>
            <a:ext uri="{FF2B5EF4-FFF2-40B4-BE49-F238E27FC236}">
              <a16:creationId xmlns:a16="http://schemas.microsoft.com/office/drawing/2014/main" id="{690258A4-DD7E-879C-4A76-089A66295F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400050</xdr:colOff>
      <xdr:row>8</xdr:row>
      <xdr:rowOff>71437</xdr:rowOff>
    </xdr:from>
    <xdr:to>
      <xdr:col>17</xdr:col>
      <xdr:colOff>1285875</xdr:colOff>
      <xdr:row>22</xdr:row>
      <xdr:rowOff>147637</xdr:rowOff>
    </xdr:to>
    <xdr:graphicFrame macro="">
      <xdr:nvGraphicFramePr>
        <xdr:cNvPr id="5" name="Chart 4">
          <a:extLst>
            <a:ext uri="{FF2B5EF4-FFF2-40B4-BE49-F238E27FC236}">
              <a16:creationId xmlns:a16="http://schemas.microsoft.com/office/drawing/2014/main" id="{2A881ACA-8031-51C4-BB36-83DBC875B7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247650</xdr:colOff>
      <xdr:row>0</xdr:row>
      <xdr:rowOff>0</xdr:rowOff>
    </xdr:from>
    <xdr:to>
      <xdr:col>27</xdr:col>
      <xdr:colOff>904875</xdr:colOff>
      <xdr:row>14</xdr:row>
      <xdr:rowOff>76200</xdr:rowOff>
    </xdr:to>
    <xdr:graphicFrame macro="">
      <xdr:nvGraphicFramePr>
        <xdr:cNvPr id="6" name="Chart 5">
          <a:extLst>
            <a:ext uri="{FF2B5EF4-FFF2-40B4-BE49-F238E27FC236}">
              <a16:creationId xmlns:a16="http://schemas.microsoft.com/office/drawing/2014/main" id="{F33BBF5E-46C0-B34F-F402-C1D2B92232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257175</xdr:colOff>
      <xdr:row>0</xdr:row>
      <xdr:rowOff>0</xdr:rowOff>
    </xdr:from>
    <xdr:to>
      <xdr:col>39</xdr:col>
      <xdr:colOff>514350</xdr:colOff>
      <xdr:row>14</xdr:row>
      <xdr:rowOff>76200</xdr:rowOff>
    </xdr:to>
    <xdr:graphicFrame macro="">
      <xdr:nvGraphicFramePr>
        <xdr:cNvPr id="7" name="Chart 6">
          <a:extLst>
            <a:ext uri="{FF2B5EF4-FFF2-40B4-BE49-F238E27FC236}">
              <a16:creationId xmlns:a16="http://schemas.microsoft.com/office/drawing/2014/main" id="{E950CA64-A43C-64DE-DCA3-0147D9589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42</xdr:col>
      <xdr:colOff>190500</xdr:colOff>
      <xdr:row>0</xdr:row>
      <xdr:rowOff>0</xdr:rowOff>
    </xdr:from>
    <xdr:to>
      <xdr:col>51</xdr:col>
      <xdr:colOff>152400</xdr:colOff>
      <xdr:row>14</xdr:row>
      <xdr:rowOff>76200</xdr:rowOff>
    </xdr:to>
    <xdr:graphicFrame macro="">
      <xdr:nvGraphicFramePr>
        <xdr:cNvPr id="8" name="Chart 7">
          <a:extLst>
            <a:ext uri="{FF2B5EF4-FFF2-40B4-BE49-F238E27FC236}">
              <a16:creationId xmlns:a16="http://schemas.microsoft.com/office/drawing/2014/main" id="{A863BE59-BA46-A3C2-5CC9-26D4A1E87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85725</xdr:colOff>
      <xdr:row>28</xdr:row>
      <xdr:rowOff>147637</xdr:rowOff>
    </xdr:from>
    <xdr:to>
      <xdr:col>16</xdr:col>
      <xdr:colOff>38100</xdr:colOff>
      <xdr:row>43</xdr:row>
      <xdr:rowOff>33337</xdr:rowOff>
    </xdr:to>
    <xdr:graphicFrame macro="">
      <xdr:nvGraphicFramePr>
        <xdr:cNvPr id="10" name="Chart 9">
          <a:extLst>
            <a:ext uri="{FF2B5EF4-FFF2-40B4-BE49-F238E27FC236}">
              <a16:creationId xmlns:a16="http://schemas.microsoft.com/office/drawing/2014/main" id="{0329C029-5D99-8B78-B5E0-16B9AEE98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156076</xdr:colOff>
      <xdr:row>1</xdr:row>
      <xdr:rowOff>49964</xdr:rowOff>
    </xdr:from>
    <xdr:to>
      <xdr:col>21</xdr:col>
      <xdr:colOff>357605</xdr:colOff>
      <xdr:row>7</xdr:row>
      <xdr:rowOff>176629</xdr:rowOff>
    </xdr:to>
    <xdr:sp macro="" textlink="">
      <xdr:nvSpPr>
        <xdr:cNvPr id="2" name="Rectangle: Rounded Corners 1">
          <a:extLst>
            <a:ext uri="{FF2B5EF4-FFF2-40B4-BE49-F238E27FC236}">
              <a16:creationId xmlns:a16="http://schemas.microsoft.com/office/drawing/2014/main" id="{B275475F-0097-2C16-4ABC-5605253EBE1A}"/>
            </a:ext>
          </a:extLst>
        </xdr:cNvPr>
        <xdr:cNvSpPr/>
      </xdr:nvSpPr>
      <xdr:spPr>
        <a:xfrm>
          <a:off x="3765550" y="233780"/>
          <a:ext cx="9225213" cy="1229560"/>
        </a:xfrm>
        <a:prstGeom prst="roundRect">
          <a:avLst/>
        </a:prstGeom>
        <a:solidFill>
          <a:srgbClr val="4F20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156076</xdr:colOff>
      <xdr:row>1</xdr:row>
      <xdr:rowOff>88064</xdr:rowOff>
    </xdr:from>
    <xdr:to>
      <xdr:col>21</xdr:col>
      <xdr:colOff>338554</xdr:colOff>
      <xdr:row>4</xdr:row>
      <xdr:rowOff>78539</xdr:rowOff>
    </xdr:to>
    <xdr:sp macro="" textlink="">
      <xdr:nvSpPr>
        <xdr:cNvPr id="3" name="TextBox 2">
          <a:extLst>
            <a:ext uri="{FF2B5EF4-FFF2-40B4-BE49-F238E27FC236}">
              <a16:creationId xmlns:a16="http://schemas.microsoft.com/office/drawing/2014/main" id="{CED7CD60-59D9-D627-AFF8-A96EFCFE7C06}"/>
            </a:ext>
          </a:extLst>
        </xdr:cNvPr>
        <xdr:cNvSpPr txBox="1"/>
      </xdr:nvSpPr>
      <xdr:spPr>
        <a:xfrm>
          <a:off x="3765550" y="271880"/>
          <a:ext cx="9206162" cy="541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800" b="1">
              <a:solidFill>
                <a:schemeClr val="bg1"/>
              </a:solidFill>
            </a:rPr>
            <a:t>Chocolate</a:t>
          </a:r>
          <a:r>
            <a:rPr lang="en-ID" sz="2800" b="1" baseline="0">
              <a:solidFill>
                <a:schemeClr val="bg1"/>
              </a:solidFill>
            </a:rPr>
            <a:t> Sales Performance</a:t>
          </a:r>
          <a:endParaRPr lang="en-ID" sz="2800" b="1">
            <a:solidFill>
              <a:schemeClr val="bg1"/>
            </a:solidFill>
          </a:endParaRPr>
        </a:p>
      </xdr:txBody>
    </xdr:sp>
    <xdr:clientData/>
  </xdr:twoCellAnchor>
  <xdr:twoCellAnchor>
    <xdr:from>
      <xdr:col>6</xdr:col>
      <xdr:colOff>165601</xdr:colOff>
      <xdr:row>2</xdr:row>
      <xdr:rowOff>164264</xdr:rowOff>
    </xdr:from>
    <xdr:to>
      <xdr:col>21</xdr:col>
      <xdr:colOff>348079</xdr:colOff>
      <xdr:row>5</xdr:row>
      <xdr:rowOff>154739</xdr:rowOff>
    </xdr:to>
    <xdr:sp macro="" textlink="">
      <xdr:nvSpPr>
        <xdr:cNvPr id="4" name="TextBox 3">
          <a:extLst>
            <a:ext uri="{FF2B5EF4-FFF2-40B4-BE49-F238E27FC236}">
              <a16:creationId xmlns:a16="http://schemas.microsoft.com/office/drawing/2014/main" id="{C809F1D0-705D-45F4-994C-AFE8BE47EBC8}"/>
            </a:ext>
          </a:extLst>
        </xdr:cNvPr>
        <xdr:cNvSpPr txBox="1"/>
      </xdr:nvSpPr>
      <xdr:spPr>
        <a:xfrm>
          <a:off x="3775075" y="531896"/>
          <a:ext cx="9206162" cy="541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1">
              <a:solidFill>
                <a:schemeClr val="bg1"/>
              </a:solidFill>
            </a:rPr>
            <a:t>tracking</a:t>
          </a:r>
          <a:r>
            <a:rPr lang="en-ID" sz="1600" b="0" i="1" baseline="0">
              <a:solidFill>
                <a:schemeClr val="bg1"/>
              </a:solidFill>
            </a:rPr>
            <a:t> revenue, shipments, and top performers</a:t>
          </a:r>
          <a:endParaRPr lang="en-ID" sz="1600" b="0" i="1">
            <a:solidFill>
              <a:schemeClr val="bg1"/>
            </a:solidFill>
          </a:endParaRPr>
        </a:p>
      </xdr:txBody>
    </xdr:sp>
    <xdr:clientData/>
  </xdr:twoCellAnchor>
  <xdr:twoCellAnchor>
    <xdr:from>
      <xdr:col>6</xdr:col>
      <xdr:colOff>452855</xdr:colOff>
      <xdr:row>5</xdr:row>
      <xdr:rowOff>135689</xdr:rowOff>
    </xdr:from>
    <xdr:to>
      <xdr:col>10</xdr:col>
      <xdr:colOff>3677</xdr:colOff>
      <xdr:row>11</xdr:row>
      <xdr:rowOff>154739</xdr:rowOff>
    </xdr:to>
    <xdr:sp macro="" textlink="">
      <xdr:nvSpPr>
        <xdr:cNvPr id="5" name="Rectangle: Rounded Corners 4">
          <a:extLst>
            <a:ext uri="{FF2B5EF4-FFF2-40B4-BE49-F238E27FC236}">
              <a16:creationId xmlns:a16="http://schemas.microsoft.com/office/drawing/2014/main" id="{82F90461-FAED-93D7-D4D6-380037FECB18}"/>
            </a:ext>
          </a:extLst>
        </xdr:cNvPr>
        <xdr:cNvSpPr/>
      </xdr:nvSpPr>
      <xdr:spPr>
        <a:xfrm>
          <a:off x="4062329" y="1054768"/>
          <a:ext cx="1957137" cy="1121945"/>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262356</xdr:colOff>
      <xdr:row>5</xdr:row>
      <xdr:rowOff>135689</xdr:rowOff>
    </xdr:from>
    <xdr:to>
      <xdr:col>13</xdr:col>
      <xdr:colOff>414755</xdr:colOff>
      <xdr:row>11</xdr:row>
      <xdr:rowOff>154739</xdr:rowOff>
    </xdr:to>
    <xdr:sp macro="" textlink="">
      <xdr:nvSpPr>
        <xdr:cNvPr id="7" name="Rectangle: Rounded Corners 6">
          <a:extLst>
            <a:ext uri="{FF2B5EF4-FFF2-40B4-BE49-F238E27FC236}">
              <a16:creationId xmlns:a16="http://schemas.microsoft.com/office/drawing/2014/main" id="{A02CA363-CCC1-4D06-AF2C-CCF4030E665F}"/>
            </a:ext>
          </a:extLst>
        </xdr:cNvPr>
        <xdr:cNvSpPr/>
      </xdr:nvSpPr>
      <xdr:spPr>
        <a:xfrm>
          <a:off x="6278145" y="1054768"/>
          <a:ext cx="1957136" cy="1121945"/>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14</xdr:col>
      <xdr:colOff>146551</xdr:colOff>
      <xdr:row>5</xdr:row>
      <xdr:rowOff>145214</xdr:rowOff>
    </xdr:from>
    <xdr:to>
      <xdr:col>17</xdr:col>
      <xdr:colOff>290930</xdr:colOff>
      <xdr:row>11</xdr:row>
      <xdr:rowOff>164264</xdr:rowOff>
    </xdr:to>
    <xdr:sp macro="" textlink="">
      <xdr:nvSpPr>
        <xdr:cNvPr id="8" name="Rectangle: Rounded Corners 7">
          <a:extLst>
            <a:ext uri="{FF2B5EF4-FFF2-40B4-BE49-F238E27FC236}">
              <a16:creationId xmlns:a16="http://schemas.microsoft.com/office/drawing/2014/main" id="{A760E7A3-6223-41C0-9D3B-6B94118EF631}"/>
            </a:ext>
          </a:extLst>
        </xdr:cNvPr>
        <xdr:cNvSpPr/>
      </xdr:nvSpPr>
      <xdr:spPr>
        <a:xfrm>
          <a:off x="8568656" y="1064293"/>
          <a:ext cx="1949116" cy="1121945"/>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17</xdr:col>
      <xdr:colOff>529055</xdr:colOff>
      <xdr:row>5</xdr:row>
      <xdr:rowOff>135689</xdr:rowOff>
    </xdr:from>
    <xdr:to>
      <xdr:col>21</xdr:col>
      <xdr:colOff>79876</xdr:colOff>
      <xdr:row>11</xdr:row>
      <xdr:rowOff>154739</xdr:rowOff>
    </xdr:to>
    <xdr:sp macro="" textlink="">
      <xdr:nvSpPr>
        <xdr:cNvPr id="9" name="Rectangle: Rounded Corners 8">
          <a:extLst>
            <a:ext uri="{FF2B5EF4-FFF2-40B4-BE49-F238E27FC236}">
              <a16:creationId xmlns:a16="http://schemas.microsoft.com/office/drawing/2014/main" id="{329A2C04-1293-4091-99B2-20BE14667EB4}"/>
            </a:ext>
          </a:extLst>
        </xdr:cNvPr>
        <xdr:cNvSpPr/>
      </xdr:nvSpPr>
      <xdr:spPr>
        <a:xfrm>
          <a:off x="10755897" y="1054768"/>
          <a:ext cx="1957137" cy="1121945"/>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452855</xdr:colOff>
      <xdr:row>6</xdr:row>
      <xdr:rowOff>49964</xdr:rowOff>
    </xdr:from>
    <xdr:to>
      <xdr:col>10</xdr:col>
      <xdr:colOff>3677</xdr:colOff>
      <xdr:row>7</xdr:row>
      <xdr:rowOff>167104</xdr:rowOff>
    </xdr:to>
    <xdr:sp macro="" textlink="">
      <xdr:nvSpPr>
        <xdr:cNvPr id="11" name="TextBox 10">
          <a:extLst>
            <a:ext uri="{FF2B5EF4-FFF2-40B4-BE49-F238E27FC236}">
              <a16:creationId xmlns:a16="http://schemas.microsoft.com/office/drawing/2014/main" id="{5B568E8D-C707-42AC-8EF5-23A99E3F4C38}"/>
            </a:ext>
          </a:extLst>
        </xdr:cNvPr>
        <xdr:cNvSpPr txBox="1"/>
      </xdr:nvSpPr>
      <xdr:spPr>
        <a:xfrm>
          <a:off x="4062329" y="1152859"/>
          <a:ext cx="1957137" cy="30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800" b="1" i="0" u="none">
              <a:solidFill>
                <a:srgbClr val="4F200D"/>
              </a:solidFill>
            </a:rPr>
            <a:t>Revenue</a:t>
          </a:r>
          <a:r>
            <a:rPr lang="en-ID" sz="1800" b="1" i="0" u="none" baseline="0">
              <a:solidFill>
                <a:srgbClr val="4F200D"/>
              </a:solidFill>
            </a:rPr>
            <a:t> ($)</a:t>
          </a:r>
          <a:endParaRPr lang="en-ID" sz="1800" b="1" i="0" u="none">
            <a:solidFill>
              <a:srgbClr val="4F200D"/>
            </a:solidFill>
          </a:endParaRPr>
        </a:p>
      </xdr:txBody>
    </xdr:sp>
    <xdr:clientData/>
  </xdr:twoCellAnchor>
  <xdr:twoCellAnchor>
    <xdr:from>
      <xdr:col>10</xdr:col>
      <xdr:colOff>262356</xdr:colOff>
      <xdr:row>6</xdr:row>
      <xdr:rowOff>59489</xdr:rowOff>
    </xdr:from>
    <xdr:to>
      <xdr:col>13</xdr:col>
      <xdr:colOff>414755</xdr:colOff>
      <xdr:row>7</xdr:row>
      <xdr:rowOff>176629</xdr:rowOff>
    </xdr:to>
    <xdr:sp macro="" textlink="">
      <xdr:nvSpPr>
        <xdr:cNvPr id="12" name="TextBox 11">
          <a:extLst>
            <a:ext uri="{FF2B5EF4-FFF2-40B4-BE49-F238E27FC236}">
              <a16:creationId xmlns:a16="http://schemas.microsoft.com/office/drawing/2014/main" id="{F0F10FA1-95DA-4E33-822D-0867DD867134}"/>
            </a:ext>
          </a:extLst>
        </xdr:cNvPr>
        <xdr:cNvSpPr txBox="1"/>
      </xdr:nvSpPr>
      <xdr:spPr>
        <a:xfrm>
          <a:off x="6278145" y="1162384"/>
          <a:ext cx="1957136" cy="30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800" b="1" i="0">
              <a:solidFill>
                <a:srgbClr val="4F200D"/>
              </a:solidFill>
            </a:rPr>
            <a:t>Box</a:t>
          </a:r>
          <a:r>
            <a:rPr lang="en-ID" sz="1800" b="1" i="0" baseline="0">
              <a:solidFill>
                <a:srgbClr val="4F200D"/>
              </a:solidFill>
            </a:rPr>
            <a:t> Shipped</a:t>
          </a:r>
          <a:endParaRPr lang="en-ID" sz="1800" b="1" i="0">
            <a:solidFill>
              <a:srgbClr val="4F200D"/>
            </a:solidFill>
          </a:endParaRPr>
        </a:p>
      </xdr:txBody>
    </xdr:sp>
    <xdr:clientData/>
  </xdr:twoCellAnchor>
  <xdr:twoCellAnchor>
    <xdr:from>
      <xdr:col>14</xdr:col>
      <xdr:colOff>146551</xdr:colOff>
      <xdr:row>6</xdr:row>
      <xdr:rowOff>49964</xdr:rowOff>
    </xdr:from>
    <xdr:to>
      <xdr:col>17</xdr:col>
      <xdr:colOff>290930</xdr:colOff>
      <xdr:row>7</xdr:row>
      <xdr:rowOff>167104</xdr:rowOff>
    </xdr:to>
    <xdr:sp macro="" textlink="">
      <xdr:nvSpPr>
        <xdr:cNvPr id="13" name="TextBox 12">
          <a:extLst>
            <a:ext uri="{FF2B5EF4-FFF2-40B4-BE49-F238E27FC236}">
              <a16:creationId xmlns:a16="http://schemas.microsoft.com/office/drawing/2014/main" id="{EA2E514D-DCB9-4CD8-9DDA-0FB7A3CBF097}"/>
            </a:ext>
          </a:extLst>
        </xdr:cNvPr>
        <xdr:cNvSpPr txBox="1"/>
      </xdr:nvSpPr>
      <xdr:spPr>
        <a:xfrm>
          <a:off x="8568656" y="1152859"/>
          <a:ext cx="1949116" cy="30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800" b="1" i="0">
              <a:solidFill>
                <a:srgbClr val="4F200D"/>
              </a:solidFill>
            </a:rPr>
            <a:t>Transaction</a:t>
          </a:r>
        </a:p>
      </xdr:txBody>
    </xdr:sp>
    <xdr:clientData/>
  </xdr:twoCellAnchor>
  <xdr:twoCellAnchor>
    <xdr:from>
      <xdr:col>17</xdr:col>
      <xdr:colOff>529055</xdr:colOff>
      <xdr:row>6</xdr:row>
      <xdr:rowOff>40439</xdr:rowOff>
    </xdr:from>
    <xdr:to>
      <xdr:col>21</xdr:col>
      <xdr:colOff>79876</xdr:colOff>
      <xdr:row>7</xdr:row>
      <xdr:rowOff>164264</xdr:rowOff>
    </xdr:to>
    <xdr:sp macro="" textlink="">
      <xdr:nvSpPr>
        <xdr:cNvPr id="14" name="TextBox 13">
          <a:extLst>
            <a:ext uri="{FF2B5EF4-FFF2-40B4-BE49-F238E27FC236}">
              <a16:creationId xmlns:a16="http://schemas.microsoft.com/office/drawing/2014/main" id="{3BDADDC0-404D-4FE2-A310-5D99ECDCF78B}"/>
            </a:ext>
          </a:extLst>
        </xdr:cNvPr>
        <xdr:cNvSpPr txBox="1"/>
      </xdr:nvSpPr>
      <xdr:spPr>
        <a:xfrm>
          <a:off x="10755897" y="1143334"/>
          <a:ext cx="1957137" cy="307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800" b="1" i="0">
              <a:solidFill>
                <a:srgbClr val="4F200D"/>
              </a:solidFill>
            </a:rPr>
            <a:t>Revenue</a:t>
          </a:r>
          <a:r>
            <a:rPr lang="en-ID" sz="1800" b="1" i="0" baseline="0">
              <a:solidFill>
                <a:srgbClr val="4F200D"/>
              </a:solidFill>
            </a:rPr>
            <a:t> per Order</a:t>
          </a:r>
          <a:endParaRPr lang="en-ID" sz="1800" b="1" i="0">
            <a:solidFill>
              <a:srgbClr val="4F200D"/>
            </a:solidFill>
          </a:endParaRPr>
        </a:p>
      </xdr:txBody>
    </xdr:sp>
    <xdr:clientData/>
  </xdr:twoCellAnchor>
  <xdr:twoCellAnchor>
    <xdr:from>
      <xdr:col>6</xdr:col>
      <xdr:colOff>443330</xdr:colOff>
      <xdr:row>8</xdr:row>
      <xdr:rowOff>69014</xdr:rowOff>
    </xdr:from>
    <xdr:to>
      <xdr:col>9</xdr:col>
      <xdr:colOff>595730</xdr:colOff>
      <xdr:row>10</xdr:row>
      <xdr:rowOff>2339</xdr:rowOff>
    </xdr:to>
    <xdr:sp macro="" textlink="pivot_tabel!$A$2">
      <xdr:nvSpPr>
        <xdr:cNvPr id="15" name="TextBox 14">
          <a:extLst>
            <a:ext uri="{FF2B5EF4-FFF2-40B4-BE49-F238E27FC236}">
              <a16:creationId xmlns:a16="http://schemas.microsoft.com/office/drawing/2014/main" id="{E68CFDF5-0F4F-46DB-95C9-7CD13D7BE221}"/>
            </a:ext>
          </a:extLst>
        </xdr:cNvPr>
        <xdr:cNvSpPr txBox="1"/>
      </xdr:nvSpPr>
      <xdr:spPr>
        <a:xfrm>
          <a:off x="4052804" y="1539540"/>
          <a:ext cx="1957137" cy="30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5DF698-C3F0-4980-AAE1-F21A4B709407}" type="TxLink">
            <a:rPr lang="en-US" sz="2400" b="1" i="0" u="none" strike="noStrike">
              <a:solidFill>
                <a:srgbClr val="4F200D"/>
              </a:solidFill>
              <a:latin typeface="Aptos Narrow"/>
            </a:rPr>
            <a:t>$63.945,805</a:t>
          </a:fld>
          <a:endParaRPr lang="en-ID" sz="4000" b="1">
            <a:solidFill>
              <a:srgbClr val="4F200D"/>
            </a:solidFill>
          </a:endParaRPr>
        </a:p>
      </xdr:txBody>
    </xdr:sp>
    <xdr:clientData/>
  </xdr:twoCellAnchor>
  <xdr:twoCellAnchor>
    <xdr:from>
      <xdr:col>10</xdr:col>
      <xdr:colOff>271881</xdr:colOff>
      <xdr:row>8</xdr:row>
      <xdr:rowOff>97589</xdr:rowOff>
    </xdr:from>
    <xdr:to>
      <xdr:col>13</xdr:col>
      <xdr:colOff>424280</xdr:colOff>
      <xdr:row>10</xdr:row>
      <xdr:rowOff>30914</xdr:rowOff>
    </xdr:to>
    <xdr:sp macro="" textlink="pivot_tabel!$A$5">
      <xdr:nvSpPr>
        <xdr:cNvPr id="16" name="TextBox 15">
          <a:extLst>
            <a:ext uri="{FF2B5EF4-FFF2-40B4-BE49-F238E27FC236}">
              <a16:creationId xmlns:a16="http://schemas.microsoft.com/office/drawing/2014/main" id="{779983C0-3B1C-40E7-BD79-ED44D24D7F5F}"/>
            </a:ext>
          </a:extLst>
        </xdr:cNvPr>
        <xdr:cNvSpPr txBox="1"/>
      </xdr:nvSpPr>
      <xdr:spPr>
        <a:xfrm>
          <a:off x="6287670" y="1568115"/>
          <a:ext cx="1957136" cy="30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2C5A01-BCEE-463B-8D87-C38BA151E264}" type="TxLink">
            <a:rPr lang="en-US" sz="2800" b="1" i="0" u="none" strike="noStrike">
              <a:solidFill>
                <a:srgbClr val="4F200D"/>
              </a:solidFill>
              <a:latin typeface="Aptos Narrow"/>
            </a:rPr>
            <a:t>177007</a:t>
          </a:fld>
          <a:endParaRPr lang="en-ID" sz="8000" b="1">
            <a:solidFill>
              <a:srgbClr val="4F200D"/>
            </a:solidFill>
          </a:endParaRPr>
        </a:p>
      </xdr:txBody>
    </xdr:sp>
    <xdr:clientData/>
  </xdr:twoCellAnchor>
  <xdr:twoCellAnchor>
    <xdr:from>
      <xdr:col>14</xdr:col>
      <xdr:colOff>146551</xdr:colOff>
      <xdr:row>8</xdr:row>
      <xdr:rowOff>88064</xdr:rowOff>
    </xdr:from>
    <xdr:to>
      <xdr:col>17</xdr:col>
      <xdr:colOff>290930</xdr:colOff>
      <xdr:row>10</xdr:row>
      <xdr:rowOff>21389</xdr:rowOff>
    </xdr:to>
    <xdr:sp macro="" textlink="pivot_tabel!$A$8">
      <xdr:nvSpPr>
        <xdr:cNvPr id="17" name="TextBox 16">
          <a:extLst>
            <a:ext uri="{FF2B5EF4-FFF2-40B4-BE49-F238E27FC236}">
              <a16:creationId xmlns:a16="http://schemas.microsoft.com/office/drawing/2014/main" id="{93CB6D6B-79C0-4DC3-9785-58634283EA7E}"/>
            </a:ext>
          </a:extLst>
        </xdr:cNvPr>
        <xdr:cNvSpPr txBox="1"/>
      </xdr:nvSpPr>
      <xdr:spPr>
        <a:xfrm>
          <a:off x="8568656" y="1558590"/>
          <a:ext cx="1949116" cy="30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DF11B7-48BD-43A6-BA98-0FC7B9EA4F19}" type="TxLink">
            <a:rPr lang="en-US" sz="3600" b="1" i="0" u="none" strike="noStrike">
              <a:solidFill>
                <a:srgbClr val="4F200D"/>
              </a:solidFill>
              <a:latin typeface="Aptos Narrow"/>
            </a:rPr>
            <a:t>1094</a:t>
          </a:fld>
          <a:endParaRPr lang="en-ID" sz="34400" b="1">
            <a:solidFill>
              <a:srgbClr val="4F200D"/>
            </a:solidFill>
          </a:endParaRPr>
        </a:p>
      </xdr:txBody>
    </xdr:sp>
    <xdr:clientData/>
  </xdr:twoCellAnchor>
  <xdr:twoCellAnchor>
    <xdr:from>
      <xdr:col>17</xdr:col>
      <xdr:colOff>538580</xdr:colOff>
      <xdr:row>8</xdr:row>
      <xdr:rowOff>59489</xdr:rowOff>
    </xdr:from>
    <xdr:to>
      <xdr:col>21</xdr:col>
      <xdr:colOff>89401</xdr:colOff>
      <xdr:row>9</xdr:row>
      <xdr:rowOff>176630</xdr:rowOff>
    </xdr:to>
    <xdr:sp macro="" textlink="pivot_tabel!$A$11">
      <xdr:nvSpPr>
        <xdr:cNvPr id="18" name="TextBox 17">
          <a:extLst>
            <a:ext uri="{FF2B5EF4-FFF2-40B4-BE49-F238E27FC236}">
              <a16:creationId xmlns:a16="http://schemas.microsoft.com/office/drawing/2014/main" id="{E1F86933-26F2-49D8-BA60-A00199E58A82}"/>
            </a:ext>
          </a:extLst>
        </xdr:cNvPr>
        <xdr:cNvSpPr txBox="1"/>
      </xdr:nvSpPr>
      <xdr:spPr>
        <a:xfrm>
          <a:off x="10765422" y="1530015"/>
          <a:ext cx="1957137" cy="30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87FF86-D212-46AA-AD34-48B09A92AE67}" type="TxLink">
            <a:rPr lang="en-US" sz="2400" b="1" i="0" u="none" strike="noStrike">
              <a:solidFill>
                <a:srgbClr val="4F200D"/>
              </a:solidFill>
              <a:latin typeface="Aptos Narrow"/>
            </a:rPr>
            <a:t>$58,45137569</a:t>
          </a:fld>
          <a:endParaRPr lang="en-ID" sz="102800" b="1">
            <a:solidFill>
              <a:srgbClr val="4F200D"/>
            </a:solidFill>
          </a:endParaRPr>
        </a:p>
      </xdr:txBody>
    </xdr:sp>
    <xdr:clientData/>
  </xdr:twoCellAnchor>
  <xdr:twoCellAnchor>
    <xdr:from>
      <xdr:col>6</xdr:col>
      <xdr:colOff>83552</xdr:colOff>
      <xdr:row>13</xdr:row>
      <xdr:rowOff>8689</xdr:rowOff>
    </xdr:from>
    <xdr:to>
      <xdr:col>13</xdr:col>
      <xdr:colOff>446505</xdr:colOff>
      <xdr:row>28</xdr:row>
      <xdr:rowOff>148389</xdr:rowOff>
    </xdr:to>
    <xdr:sp macro="" textlink="">
      <xdr:nvSpPr>
        <xdr:cNvPr id="22" name="Rectangle: Rounded Corners 21">
          <a:extLst>
            <a:ext uri="{FF2B5EF4-FFF2-40B4-BE49-F238E27FC236}">
              <a16:creationId xmlns:a16="http://schemas.microsoft.com/office/drawing/2014/main" id="{4F7A375A-3E0D-8038-9BD7-27CBF78B1219}"/>
            </a:ext>
          </a:extLst>
        </xdr:cNvPr>
        <xdr:cNvSpPr/>
      </xdr:nvSpPr>
      <xdr:spPr>
        <a:xfrm>
          <a:off x="3693026" y="2398294"/>
          <a:ext cx="4574005" cy="2896937"/>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14</xdr:col>
      <xdr:colOff>86226</xdr:colOff>
      <xdr:row>12</xdr:row>
      <xdr:rowOff>167105</xdr:rowOff>
    </xdr:from>
    <xdr:to>
      <xdr:col>21</xdr:col>
      <xdr:colOff>350921</xdr:colOff>
      <xdr:row>28</xdr:row>
      <xdr:rowOff>122989</xdr:rowOff>
    </xdr:to>
    <xdr:sp macro="" textlink="">
      <xdr:nvSpPr>
        <xdr:cNvPr id="25" name="Rectangle: Rounded Corners 24">
          <a:extLst>
            <a:ext uri="{FF2B5EF4-FFF2-40B4-BE49-F238E27FC236}">
              <a16:creationId xmlns:a16="http://schemas.microsoft.com/office/drawing/2014/main" id="{8F3E4CF4-64FE-42D4-A27D-C7B87AF6649E}"/>
            </a:ext>
          </a:extLst>
        </xdr:cNvPr>
        <xdr:cNvSpPr/>
      </xdr:nvSpPr>
      <xdr:spPr>
        <a:xfrm>
          <a:off x="8508331" y="2372894"/>
          <a:ext cx="4475748" cy="2896937"/>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68848</xdr:colOff>
      <xdr:row>30</xdr:row>
      <xdr:rowOff>27404</xdr:rowOff>
    </xdr:from>
    <xdr:to>
      <xdr:col>13</xdr:col>
      <xdr:colOff>431801</xdr:colOff>
      <xdr:row>45</xdr:row>
      <xdr:rowOff>167104</xdr:rowOff>
    </xdr:to>
    <xdr:sp macro="" textlink="">
      <xdr:nvSpPr>
        <xdr:cNvPr id="26" name="Rectangle: Rounded Corners 25">
          <a:extLst>
            <a:ext uri="{FF2B5EF4-FFF2-40B4-BE49-F238E27FC236}">
              <a16:creationId xmlns:a16="http://schemas.microsoft.com/office/drawing/2014/main" id="{61AFC4A5-7BD8-4366-B151-4496B9614A2A}"/>
            </a:ext>
          </a:extLst>
        </xdr:cNvPr>
        <xdr:cNvSpPr/>
      </xdr:nvSpPr>
      <xdr:spPr>
        <a:xfrm>
          <a:off x="3678322" y="5541878"/>
          <a:ext cx="4574005" cy="2896937"/>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14</xdr:col>
      <xdr:colOff>87563</xdr:colOff>
      <xdr:row>30</xdr:row>
      <xdr:rowOff>12698</xdr:rowOff>
    </xdr:from>
    <xdr:to>
      <xdr:col>21</xdr:col>
      <xdr:colOff>450515</xdr:colOff>
      <xdr:row>45</xdr:row>
      <xdr:rowOff>152398</xdr:rowOff>
    </xdr:to>
    <xdr:sp macro="" textlink="">
      <xdr:nvSpPr>
        <xdr:cNvPr id="27" name="Rectangle: Rounded Corners 26">
          <a:extLst>
            <a:ext uri="{FF2B5EF4-FFF2-40B4-BE49-F238E27FC236}">
              <a16:creationId xmlns:a16="http://schemas.microsoft.com/office/drawing/2014/main" id="{B5792E1A-8070-4F42-82CD-160C41B9EF3C}"/>
            </a:ext>
          </a:extLst>
        </xdr:cNvPr>
        <xdr:cNvSpPr/>
      </xdr:nvSpPr>
      <xdr:spPr>
        <a:xfrm>
          <a:off x="8509668" y="5527172"/>
          <a:ext cx="4574005" cy="2896937"/>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484606</xdr:colOff>
      <xdr:row>12</xdr:row>
      <xdr:rowOff>150394</xdr:rowOff>
    </xdr:from>
    <xdr:to>
      <xdr:col>5</xdr:col>
      <xdr:colOff>451185</xdr:colOff>
      <xdr:row>23</xdr:row>
      <xdr:rowOff>100262</xdr:rowOff>
    </xdr:to>
    <xdr:sp macro="" textlink="">
      <xdr:nvSpPr>
        <xdr:cNvPr id="28" name="Rectangle: Rounded Corners 27">
          <a:extLst>
            <a:ext uri="{FF2B5EF4-FFF2-40B4-BE49-F238E27FC236}">
              <a16:creationId xmlns:a16="http://schemas.microsoft.com/office/drawing/2014/main" id="{A4B729EF-4872-3368-9F3F-F52D19FA5EBD}"/>
            </a:ext>
          </a:extLst>
        </xdr:cNvPr>
        <xdr:cNvSpPr/>
      </xdr:nvSpPr>
      <xdr:spPr>
        <a:xfrm>
          <a:off x="484606" y="2408172"/>
          <a:ext cx="3023986" cy="2019497"/>
        </a:xfrm>
        <a:prstGeom prst="roundRect">
          <a:avLst/>
        </a:prstGeom>
        <a:solidFill>
          <a:srgbClr val="4F20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chemeClr val="bg1"/>
            </a:solidFill>
          </a:endParaRPr>
        </a:p>
      </xdr:txBody>
    </xdr:sp>
    <xdr:clientData/>
  </xdr:twoCellAnchor>
  <xdr:twoCellAnchor>
    <xdr:from>
      <xdr:col>0</xdr:col>
      <xdr:colOff>453190</xdr:colOff>
      <xdr:row>24</xdr:row>
      <xdr:rowOff>18714</xdr:rowOff>
    </xdr:from>
    <xdr:to>
      <xdr:col>5</xdr:col>
      <xdr:colOff>419769</xdr:colOff>
      <xdr:row>34</xdr:row>
      <xdr:rowOff>152398</xdr:rowOff>
    </xdr:to>
    <xdr:sp macro="" textlink="">
      <xdr:nvSpPr>
        <xdr:cNvPr id="31" name="Rectangle: Rounded Corners 30">
          <a:extLst>
            <a:ext uri="{FF2B5EF4-FFF2-40B4-BE49-F238E27FC236}">
              <a16:creationId xmlns:a16="http://schemas.microsoft.com/office/drawing/2014/main" id="{1741D183-5903-4A56-A3A8-E63848B9C68F}"/>
            </a:ext>
          </a:extLst>
        </xdr:cNvPr>
        <xdr:cNvSpPr/>
      </xdr:nvSpPr>
      <xdr:spPr>
        <a:xfrm>
          <a:off x="453190" y="4430293"/>
          <a:ext cx="2974474" cy="1971842"/>
        </a:xfrm>
        <a:prstGeom prst="roundRect">
          <a:avLst/>
        </a:prstGeom>
        <a:solidFill>
          <a:srgbClr val="4F20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chemeClr val="bg1"/>
            </a:solidFill>
          </a:endParaRPr>
        </a:p>
      </xdr:txBody>
    </xdr:sp>
    <xdr:clientData/>
  </xdr:twoCellAnchor>
  <xdr:twoCellAnchor>
    <xdr:from>
      <xdr:col>0</xdr:col>
      <xdr:colOff>488616</xdr:colOff>
      <xdr:row>35</xdr:row>
      <xdr:rowOff>87561</xdr:rowOff>
    </xdr:from>
    <xdr:to>
      <xdr:col>5</xdr:col>
      <xdr:colOff>455195</xdr:colOff>
      <xdr:row>46</xdr:row>
      <xdr:rowOff>37430</xdr:rowOff>
    </xdr:to>
    <xdr:sp macro="" textlink="">
      <xdr:nvSpPr>
        <xdr:cNvPr id="32" name="Rectangle: Rounded Corners 31">
          <a:extLst>
            <a:ext uri="{FF2B5EF4-FFF2-40B4-BE49-F238E27FC236}">
              <a16:creationId xmlns:a16="http://schemas.microsoft.com/office/drawing/2014/main" id="{7DE65B75-3B92-4A91-B456-F239215790F3}"/>
            </a:ext>
          </a:extLst>
        </xdr:cNvPr>
        <xdr:cNvSpPr/>
      </xdr:nvSpPr>
      <xdr:spPr>
        <a:xfrm>
          <a:off x="488616" y="6801363"/>
          <a:ext cx="3009287" cy="2059921"/>
        </a:xfrm>
        <a:prstGeom prst="roundRect">
          <a:avLst/>
        </a:prstGeom>
        <a:solidFill>
          <a:srgbClr val="4F20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chemeClr val="bg1"/>
            </a:solidFill>
          </a:endParaRPr>
        </a:p>
      </xdr:txBody>
    </xdr:sp>
    <xdr:clientData/>
  </xdr:twoCellAnchor>
  <xdr:twoCellAnchor>
    <xdr:from>
      <xdr:col>22</xdr:col>
      <xdr:colOff>18719</xdr:colOff>
      <xdr:row>12</xdr:row>
      <xdr:rowOff>152399</xdr:rowOff>
    </xdr:from>
    <xdr:to>
      <xdr:col>26</xdr:col>
      <xdr:colOff>586877</xdr:colOff>
      <xdr:row>23</xdr:row>
      <xdr:rowOff>102267</xdr:rowOff>
    </xdr:to>
    <xdr:sp macro="" textlink="">
      <xdr:nvSpPr>
        <xdr:cNvPr id="33" name="Rectangle: Rounded Corners 32">
          <a:extLst>
            <a:ext uri="{FF2B5EF4-FFF2-40B4-BE49-F238E27FC236}">
              <a16:creationId xmlns:a16="http://schemas.microsoft.com/office/drawing/2014/main" id="{D8C1763F-8BB4-40A0-8DB9-A04D85E1AEF2}"/>
            </a:ext>
          </a:extLst>
        </xdr:cNvPr>
        <xdr:cNvSpPr/>
      </xdr:nvSpPr>
      <xdr:spPr>
        <a:xfrm>
          <a:off x="13253456" y="2358188"/>
          <a:ext cx="2974474" cy="1971842"/>
        </a:xfrm>
        <a:prstGeom prst="roundRect">
          <a:avLst/>
        </a:prstGeom>
        <a:solidFill>
          <a:srgbClr val="4F20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chemeClr val="bg1"/>
            </a:solidFill>
          </a:endParaRPr>
        </a:p>
      </xdr:txBody>
    </xdr:sp>
    <xdr:clientData/>
  </xdr:twoCellAnchor>
  <xdr:twoCellAnchor>
    <xdr:from>
      <xdr:col>22</xdr:col>
      <xdr:colOff>54144</xdr:colOff>
      <xdr:row>24</xdr:row>
      <xdr:rowOff>20719</xdr:rowOff>
    </xdr:from>
    <xdr:to>
      <xdr:col>27</xdr:col>
      <xdr:colOff>20723</xdr:colOff>
      <xdr:row>34</xdr:row>
      <xdr:rowOff>154403</xdr:rowOff>
    </xdr:to>
    <xdr:sp macro="" textlink="">
      <xdr:nvSpPr>
        <xdr:cNvPr id="34" name="Rectangle: Rounded Corners 33">
          <a:extLst>
            <a:ext uri="{FF2B5EF4-FFF2-40B4-BE49-F238E27FC236}">
              <a16:creationId xmlns:a16="http://schemas.microsoft.com/office/drawing/2014/main" id="{21A740F3-368F-4D25-BBD4-2331DA0D53F2}"/>
            </a:ext>
          </a:extLst>
        </xdr:cNvPr>
        <xdr:cNvSpPr/>
      </xdr:nvSpPr>
      <xdr:spPr>
        <a:xfrm>
          <a:off x="13288881" y="4432298"/>
          <a:ext cx="2974474" cy="1971842"/>
        </a:xfrm>
        <a:prstGeom prst="roundRect">
          <a:avLst/>
        </a:prstGeom>
        <a:solidFill>
          <a:srgbClr val="4F20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chemeClr val="bg1"/>
            </a:solidFill>
          </a:endParaRPr>
        </a:p>
      </xdr:txBody>
    </xdr:sp>
    <xdr:clientData/>
  </xdr:twoCellAnchor>
  <xdr:twoCellAnchor>
    <xdr:from>
      <xdr:col>22</xdr:col>
      <xdr:colOff>106281</xdr:colOff>
      <xdr:row>35</xdr:row>
      <xdr:rowOff>89566</xdr:rowOff>
    </xdr:from>
    <xdr:to>
      <xdr:col>27</xdr:col>
      <xdr:colOff>72860</xdr:colOff>
      <xdr:row>46</xdr:row>
      <xdr:rowOff>39435</xdr:rowOff>
    </xdr:to>
    <xdr:sp macro="" textlink="">
      <xdr:nvSpPr>
        <xdr:cNvPr id="35" name="Rectangle: Rounded Corners 34">
          <a:extLst>
            <a:ext uri="{FF2B5EF4-FFF2-40B4-BE49-F238E27FC236}">
              <a16:creationId xmlns:a16="http://schemas.microsoft.com/office/drawing/2014/main" id="{CF19892F-A59A-4981-8ED0-DEEF18B34D85}"/>
            </a:ext>
          </a:extLst>
        </xdr:cNvPr>
        <xdr:cNvSpPr/>
      </xdr:nvSpPr>
      <xdr:spPr>
        <a:xfrm>
          <a:off x="13341018" y="6523119"/>
          <a:ext cx="2974474" cy="1971842"/>
        </a:xfrm>
        <a:prstGeom prst="roundRect">
          <a:avLst/>
        </a:prstGeom>
        <a:solidFill>
          <a:srgbClr val="4F20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chemeClr val="bg1"/>
            </a:solidFill>
          </a:endParaRPr>
        </a:p>
      </xdr:txBody>
    </xdr:sp>
    <xdr:clientData/>
  </xdr:twoCellAnchor>
  <xdr:twoCellAnchor>
    <xdr:from>
      <xdr:col>6</xdr:col>
      <xdr:colOff>330619</xdr:colOff>
      <xdr:row>15</xdr:row>
      <xdr:rowOff>79714</xdr:rowOff>
    </xdr:from>
    <xdr:to>
      <xdr:col>13</xdr:col>
      <xdr:colOff>212216</xdr:colOff>
      <xdr:row>28</xdr:row>
      <xdr:rowOff>89448</xdr:rowOff>
    </xdr:to>
    <xdr:graphicFrame macro="">
      <xdr:nvGraphicFramePr>
        <xdr:cNvPr id="36" name="Chart 35">
          <a:extLst>
            <a:ext uri="{FF2B5EF4-FFF2-40B4-BE49-F238E27FC236}">
              <a16:creationId xmlns:a16="http://schemas.microsoft.com/office/drawing/2014/main" id="{F6FAD498-8360-477D-B27A-5C42A8CC6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84399</xdr:colOff>
      <xdr:row>13</xdr:row>
      <xdr:rowOff>113429</xdr:rowOff>
    </xdr:from>
    <xdr:to>
      <xdr:col>13</xdr:col>
      <xdr:colOff>421993</xdr:colOff>
      <xdr:row>15</xdr:row>
      <xdr:rowOff>37658</xdr:rowOff>
    </xdr:to>
    <xdr:sp macro="" textlink="">
      <xdr:nvSpPr>
        <xdr:cNvPr id="37" name="TextBox 36">
          <a:extLst>
            <a:ext uri="{FF2B5EF4-FFF2-40B4-BE49-F238E27FC236}">
              <a16:creationId xmlns:a16="http://schemas.microsoft.com/office/drawing/2014/main" id="{A2C3BC4F-E191-4460-AC62-AB13006CA563}"/>
            </a:ext>
          </a:extLst>
        </xdr:cNvPr>
        <xdr:cNvSpPr txBox="1"/>
      </xdr:nvSpPr>
      <xdr:spPr>
        <a:xfrm>
          <a:off x="3773829" y="2621277"/>
          <a:ext cx="4641930"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800" b="1" i="0">
              <a:solidFill>
                <a:srgbClr val="4F200D"/>
              </a:solidFill>
            </a:rPr>
            <a:t>Monthly Revenue</a:t>
          </a:r>
          <a:r>
            <a:rPr lang="en-ID" sz="1800" b="1" i="0" baseline="0">
              <a:solidFill>
                <a:srgbClr val="4F200D"/>
              </a:solidFill>
            </a:rPr>
            <a:t> Trend</a:t>
          </a:r>
          <a:endParaRPr lang="en-ID" sz="1800" b="1" i="0">
            <a:solidFill>
              <a:srgbClr val="4F200D"/>
            </a:solidFill>
          </a:endParaRPr>
        </a:p>
      </xdr:txBody>
    </xdr:sp>
    <xdr:clientData/>
  </xdr:twoCellAnchor>
  <xdr:twoCellAnchor>
    <xdr:from>
      <xdr:col>14</xdr:col>
      <xdr:colOff>203666</xdr:colOff>
      <xdr:row>15</xdr:row>
      <xdr:rowOff>2209</xdr:rowOff>
    </xdr:from>
    <xdr:to>
      <xdr:col>21</xdr:col>
      <xdr:colOff>256486</xdr:colOff>
      <xdr:row>28</xdr:row>
      <xdr:rowOff>36411</xdr:rowOff>
    </xdr:to>
    <xdr:graphicFrame macro="">
      <xdr:nvGraphicFramePr>
        <xdr:cNvPr id="38" name="Chart 37">
          <a:extLst>
            <a:ext uri="{FF2B5EF4-FFF2-40B4-BE49-F238E27FC236}">
              <a16:creationId xmlns:a16="http://schemas.microsoft.com/office/drawing/2014/main" id="{FA25A9D7-B7D0-4198-A5A7-F0BEAE232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51302</xdr:colOff>
      <xdr:row>13</xdr:row>
      <xdr:rowOff>55359</xdr:rowOff>
    </xdr:from>
    <xdr:to>
      <xdr:col>21</xdr:col>
      <xdr:colOff>388896</xdr:colOff>
      <xdr:row>14</xdr:row>
      <xdr:rowOff>173975</xdr:rowOff>
    </xdr:to>
    <xdr:sp macro="" textlink="">
      <xdr:nvSpPr>
        <xdr:cNvPr id="39" name="TextBox 38">
          <a:extLst>
            <a:ext uri="{FF2B5EF4-FFF2-40B4-BE49-F238E27FC236}">
              <a16:creationId xmlns:a16="http://schemas.microsoft.com/office/drawing/2014/main" id="{F360FF61-35F1-4DC2-9ACE-88EF3A7398C2}"/>
            </a:ext>
          </a:extLst>
        </xdr:cNvPr>
        <xdr:cNvSpPr txBox="1"/>
      </xdr:nvSpPr>
      <xdr:spPr>
        <a:xfrm>
          <a:off x="8623802" y="2582400"/>
          <a:ext cx="4623844" cy="313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800" b="1" i="0">
              <a:solidFill>
                <a:srgbClr val="4F200D"/>
              </a:solidFill>
            </a:rPr>
            <a:t>Monthly Shipments</a:t>
          </a:r>
        </a:p>
      </xdr:txBody>
    </xdr:sp>
    <xdr:clientData/>
  </xdr:twoCellAnchor>
  <xdr:twoCellAnchor>
    <xdr:from>
      <xdr:col>6</xdr:col>
      <xdr:colOff>171948</xdr:colOff>
      <xdr:row>31</xdr:row>
      <xdr:rowOff>154460</xdr:rowOff>
    </xdr:from>
    <xdr:to>
      <xdr:col>13</xdr:col>
      <xdr:colOff>435717</xdr:colOff>
      <xdr:row>45</xdr:row>
      <xdr:rowOff>175215</xdr:rowOff>
    </xdr:to>
    <xdr:graphicFrame macro="">
      <xdr:nvGraphicFramePr>
        <xdr:cNvPr id="40" name="Chart 39">
          <a:extLst>
            <a:ext uri="{FF2B5EF4-FFF2-40B4-BE49-F238E27FC236}">
              <a16:creationId xmlns:a16="http://schemas.microsoft.com/office/drawing/2014/main" id="{742D8E61-0345-480E-8533-6F6BE46EF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66804</xdr:colOff>
      <xdr:row>30</xdr:row>
      <xdr:rowOff>92748</xdr:rowOff>
    </xdr:from>
    <xdr:to>
      <xdr:col>13</xdr:col>
      <xdr:colOff>404398</xdr:colOff>
      <xdr:row>32</xdr:row>
      <xdr:rowOff>19552</xdr:rowOff>
    </xdr:to>
    <xdr:sp macro="" textlink="">
      <xdr:nvSpPr>
        <xdr:cNvPr id="41" name="TextBox 40">
          <a:extLst>
            <a:ext uri="{FF2B5EF4-FFF2-40B4-BE49-F238E27FC236}">
              <a16:creationId xmlns:a16="http://schemas.microsoft.com/office/drawing/2014/main" id="{22199632-4E86-4682-9B7E-F9526A6D896F}"/>
            </a:ext>
          </a:extLst>
        </xdr:cNvPr>
        <xdr:cNvSpPr txBox="1"/>
      </xdr:nvSpPr>
      <xdr:spPr>
        <a:xfrm>
          <a:off x="3736436" y="5807748"/>
          <a:ext cx="4618830" cy="307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800" b="1" i="0">
              <a:solidFill>
                <a:srgbClr val="4F200D"/>
              </a:solidFill>
            </a:rPr>
            <a:t>Product Performance</a:t>
          </a:r>
        </a:p>
      </xdr:txBody>
    </xdr:sp>
    <xdr:clientData/>
  </xdr:twoCellAnchor>
  <xdr:twoCellAnchor>
    <xdr:from>
      <xdr:col>14</xdr:col>
      <xdr:colOff>134868</xdr:colOff>
      <xdr:row>31</xdr:row>
      <xdr:rowOff>123705</xdr:rowOff>
    </xdr:from>
    <xdr:to>
      <xdr:col>21</xdr:col>
      <xdr:colOff>472104</xdr:colOff>
      <xdr:row>45</xdr:row>
      <xdr:rowOff>163865</xdr:rowOff>
    </xdr:to>
    <xdr:graphicFrame macro="">
      <xdr:nvGraphicFramePr>
        <xdr:cNvPr id="42" name="Chart 41">
          <a:extLst>
            <a:ext uri="{FF2B5EF4-FFF2-40B4-BE49-F238E27FC236}">
              <a16:creationId xmlns:a16="http://schemas.microsoft.com/office/drawing/2014/main" id="{188621C4-6380-47FD-BD30-AA5C7CCA88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88862</xdr:colOff>
      <xdr:row>30</xdr:row>
      <xdr:rowOff>74701</xdr:rowOff>
    </xdr:from>
    <xdr:to>
      <xdr:col>21</xdr:col>
      <xdr:colOff>426455</xdr:colOff>
      <xdr:row>32</xdr:row>
      <xdr:rowOff>1505</xdr:rowOff>
    </xdr:to>
    <xdr:sp macro="" textlink="">
      <xdr:nvSpPr>
        <xdr:cNvPr id="43" name="TextBox 42">
          <a:extLst>
            <a:ext uri="{FF2B5EF4-FFF2-40B4-BE49-F238E27FC236}">
              <a16:creationId xmlns:a16="http://schemas.microsoft.com/office/drawing/2014/main" id="{A0005F0E-16AF-43F7-8625-C87F89E98644}"/>
            </a:ext>
          </a:extLst>
        </xdr:cNvPr>
        <xdr:cNvSpPr txBox="1"/>
      </xdr:nvSpPr>
      <xdr:spPr>
        <a:xfrm>
          <a:off x="8651336" y="5789701"/>
          <a:ext cx="4618830" cy="307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800" b="1" i="0">
              <a:solidFill>
                <a:srgbClr val="4F200D"/>
              </a:solidFill>
            </a:rPr>
            <a:t>Sales Person Performance</a:t>
          </a:r>
        </a:p>
      </xdr:txBody>
    </xdr:sp>
    <xdr:clientData/>
  </xdr:twoCellAnchor>
  <xdr:twoCellAnchor>
    <xdr:from>
      <xdr:col>0</xdr:col>
      <xdr:colOff>493464</xdr:colOff>
      <xdr:row>13</xdr:row>
      <xdr:rowOff>37684</xdr:rowOff>
    </xdr:from>
    <xdr:to>
      <xdr:col>5</xdr:col>
      <xdr:colOff>447561</xdr:colOff>
      <xdr:row>14</xdr:row>
      <xdr:rowOff>157003</xdr:rowOff>
    </xdr:to>
    <xdr:sp macro="" textlink="">
      <xdr:nvSpPr>
        <xdr:cNvPr id="45" name="TextBox 44">
          <a:extLst>
            <a:ext uri="{FF2B5EF4-FFF2-40B4-BE49-F238E27FC236}">
              <a16:creationId xmlns:a16="http://schemas.microsoft.com/office/drawing/2014/main" id="{E381A148-7B17-4B6E-BA5D-74BEEE5C4D24}"/>
            </a:ext>
          </a:extLst>
        </xdr:cNvPr>
        <xdr:cNvSpPr txBox="1"/>
      </xdr:nvSpPr>
      <xdr:spPr>
        <a:xfrm>
          <a:off x="493464" y="2490821"/>
          <a:ext cx="3009286" cy="308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800" b="1" i="0">
              <a:solidFill>
                <a:schemeClr val="bg1"/>
              </a:solidFill>
            </a:rPr>
            <a:t>Top 5 Sales Heroes</a:t>
          </a:r>
        </a:p>
      </xdr:txBody>
    </xdr:sp>
    <xdr:clientData/>
  </xdr:twoCellAnchor>
  <xdr:twoCellAnchor>
    <xdr:from>
      <xdr:col>0</xdr:col>
      <xdr:colOff>473726</xdr:colOff>
      <xdr:row>24</xdr:row>
      <xdr:rowOff>124885</xdr:rowOff>
    </xdr:from>
    <xdr:to>
      <xdr:col>5</xdr:col>
      <xdr:colOff>427823</xdr:colOff>
      <xdr:row>26</xdr:row>
      <xdr:rowOff>49114</xdr:rowOff>
    </xdr:to>
    <xdr:sp macro="" textlink="">
      <xdr:nvSpPr>
        <xdr:cNvPr id="46" name="TextBox 45">
          <a:extLst>
            <a:ext uri="{FF2B5EF4-FFF2-40B4-BE49-F238E27FC236}">
              <a16:creationId xmlns:a16="http://schemas.microsoft.com/office/drawing/2014/main" id="{9F16CABA-F786-4AFF-97C0-89C66AAE5334}"/>
            </a:ext>
          </a:extLst>
        </xdr:cNvPr>
        <xdr:cNvSpPr txBox="1"/>
      </xdr:nvSpPr>
      <xdr:spPr>
        <a:xfrm>
          <a:off x="473726" y="4774377"/>
          <a:ext cx="3021470" cy="311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800" b="1" i="0">
              <a:solidFill>
                <a:schemeClr val="bg1"/>
              </a:solidFill>
            </a:rPr>
            <a:t>Top 5 Products</a:t>
          </a:r>
        </a:p>
      </xdr:txBody>
    </xdr:sp>
    <xdr:clientData/>
  </xdr:twoCellAnchor>
  <xdr:twoCellAnchor>
    <xdr:from>
      <xdr:col>0</xdr:col>
      <xdr:colOff>488415</xdr:colOff>
      <xdr:row>35</xdr:row>
      <xdr:rowOff>171118</xdr:rowOff>
    </xdr:from>
    <xdr:to>
      <xdr:col>5</xdr:col>
      <xdr:colOff>442512</xdr:colOff>
      <xdr:row>37</xdr:row>
      <xdr:rowOff>134454</xdr:rowOff>
    </xdr:to>
    <xdr:sp macro="" textlink="">
      <xdr:nvSpPr>
        <xdr:cNvPr id="47" name="TextBox 46">
          <a:extLst>
            <a:ext uri="{FF2B5EF4-FFF2-40B4-BE49-F238E27FC236}">
              <a16:creationId xmlns:a16="http://schemas.microsoft.com/office/drawing/2014/main" id="{7CCD54A4-8BEE-40F7-A2B7-BCC09395F0E7}"/>
            </a:ext>
          </a:extLst>
        </xdr:cNvPr>
        <xdr:cNvSpPr txBox="1"/>
      </xdr:nvSpPr>
      <xdr:spPr>
        <a:xfrm>
          <a:off x="488415" y="6701144"/>
          <a:ext cx="2998169" cy="336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800" b="1" i="0">
              <a:solidFill>
                <a:schemeClr val="bg1"/>
              </a:solidFill>
            </a:rPr>
            <a:t>Bottom 5 Products</a:t>
          </a:r>
        </a:p>
      </xdr:txBody>
    </xdr:sp>
    <xdr:clientData/>
  </xdr:twoCellAnchor>
  <xdr:twoCellAnchor>
    <xdr:from>
      <xdr:col>22</xdr:col>
      <xdr:colOff>21739</xdr:colOff>
      <xdr:row>13</xdr:row>
      <xdr:rowOff>32248</xdr:rowOff>
    </xdr:from>
    <xdr:to>
      <xdr:col>26</xdr:col>
      <xdr:colOff>584059</xdr:colOff>
      <xdr:row>14</xdr:row>
      <xdr:rowOff>151567</xdr:rowOff>
    </xdr:to>
    <xdr:sp macro="" textlink="">
      <xdr:nvSpPr>
        <xdr:cNvPr id="48" name="TextBox 47">
          <a:extLst>
            <a:ext uri="{FF2B5EF4-FFF2-40B4-BE49-F238E27FC236}">
              <a16:creationId xmlns:a16="http://schemas.microsoft.com/office/drawing/2014/main" id="{40143A72-447F-4542-A740-CA900D67DB62}"/>
            </a:ext>
          </a:extLst>
        </xdr:cNvPr>
        <xdr:cNvSpPr txBox="1"/>
      </xdr:nvSpPr>
      <xdr:spPr>
        <a:xfrm>
          <a:off x="13419198" y="2468150"/>
          <a:ext cx="2998222" cy="306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800" b="1" i="0">
              <a:solidFill>
                <a:schemeClr val="bg1"/>
              </a:solidFill>
            </a:rPr>
            <a:t>Revenue per</a:t>
          </a:r>
          <a:r>
            <a:rPr lang="en-ID" sz="1800" b="1" i="0" baseline="0">
              <a:solidFill>
                <a:schemeClr val="bg1"/>
              </a:solidFill>
            </a:rPr>
            <a:t> Country</a:t>
          </a:r>
          <a:endParaRPr lang="en-ID" sz="1800" b="1" i="0">
            <a:solidFill>
              <a:schemeClr val="bg1"/>
            </a:solidFill>
          </a:endParaRPr>
        </a:p>
      </xdr:txBody>
    </xdr:sp>
    <xdr:clientData/>
  </xdr:twoCellAnchor>
  <xdr:twoCellAnchor>
    <xdr:from>
      <xdr:col>22</xdr:col>
      <xdr:colOff>70855</xdr:colOff>
      <xdr:row>24</xdr:row>
      <xdr:rowOff>103628</xdr:rowOff>
    </xdr:from>
    <xdr:to>
      <xdr:col>27</xdr:col>
      <xdr:colOff>24952</xdr:colOff>
      <xdr:row>26</xdr:row>
      <xdr:rowOff>27857</xdr:rowOff>
    </xdr:to>
    <xdr:sp macro="" textlink="">
      <xdr:nvSpPr>
        <xdr:cNvPr id="49" name="TextBox 48">
          <a:extLst>
            <a:ext uri="{FF2B5EF4-FFF2-40B4-BE49-F238E27FC236}">
              <a16:creationId xmlns:a16="http://schemas.microsoft.com/office/drawing/2014/main" id="{C685AB07-14FD-4067-AFA7-AC847775EB3E}"/>
            </a:ext>
          </a:extLst>
        </xdr:cNvPr>
        <xdr:cNvSpPr txBox="1"/>
      </xdr:nvSpPr>
      <xdr:spPr>
        <a:xfrm>
          <a:off x="13691605" y="4675628"/>
          <a:ext cx="3049722" cy="305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800" b="1" i="0">
              <a:solidFill>
                <a:schemeClr val="bg1"/>
              </a:solidFill>
            </a:rPr>
            <a:t>Box Shipped per</a:t>
          </a:r>
          <a:r>
            <a:rPr lang="en-ID" sz="1800" b="1" i="0" baseline="0">
              <a:solidFill>
                <a:schemeClr val="bg1"/>
              </a:solidFill>
            </a:rPr>
            <a:t> Country</a:t>
          </a:r>
          <a:endParaRPr lang="en-ID" sz="1800" b="1" i="0">
            <a:solidFill>
              <a:schemeClr val="bg1"/>
            </a:solidFill>
          </a:endParaRPr>
        </a:p>
      </xdr:txBody>
    </xdr:sp>
    <xdr:clientData/>
  </xdr:twoCellAnchor>
  <xdr:twoCellAnchor>
    <xdr:from>
      <xdr:col>22</xdr:col>
      <xdr:colOff>119972</xdr:colOff>
      <xdr:row>35</xdr:row>
      <xdr:rowOff>183439</xdr:rowOff>
    </xdr:from>
    <xdr:to>
      <xdr:col>27</xdr:col>
      <xdr:colOff>74069</xdr:colOff>
      <xdr:row>37</xdr:row>
      <xdr:rowOff>115039</xdr:rowOff>
    </xdr:to>
    <xdr:sp macro="" textlink="">
      <xdr:nvSpPr>
        <xdr:cNvPr id="50" name="TextBox 49">
          <a:extLst>
            <a:ext uri="{FF2B5EF4-FFF2-40B4-BE49-F238E27FC236}">
              <a16:creationId xmlns:a16="http://schemas.microsoft.com/office/drawing/2014/main" id="{B3DC593B-2DFF-43CE-B44A-EC90046A8522}"/>
            </a:ext>
          </a:extLst>
        </xdr:cNvPr>
        <xdr:cNvSpPr txBox="1"/>
      </xdr:nvSpPr>
      <xdr:spPr>
        <a:xfrm>
          <a:off x="13580118" y="6753603"/>
          <a:ext cx="3013221" cy="307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800" b="1" i="0">
              <a:solidFill>
                <a:schemeClr val="bg1"/>
              </a:solidFill>
            </a:rPr>
            <a:t>Transaction</a:t>
          </a:r>
          <a:r>
            <a:rPr lang="en-ID" sz="1800" b="1" i="0" baseline="0">
              <a:solidFill>
                <a:schemeClr val="bg1"/>
              </a:solidFill>
            </a:rPr>
            <a:t> per Country</a:t>
          </a:r>
          <a:endParaRPr lang="en-ID" sz="1800" b="1" i="0">
            <a:solidFill>
              <a:schemeClr val="bg1"/>
            </a:solidFill>
          </a:endParaRPr>
        </a:p>
      </xdr:txBody>
    </xdr:sp>
    <xdr:clientData/>
  </xdr:twoCellAnchor>
  <xdr:twoCellAnchor>
    <xdr:from>
      <xdr:col>1</xdr:col>
      <xdr:colOff>69850</xdr:colOff>
      <xdr:row>15</xdr:row>
      <xdr:rowOff>50800</xdr:rowOff>
    </xdr:from>
    <xdr:to>
      <xdr:col>3</xdr:col>
      <xdr:colOff>368300</xdr:colOff>
      <xdr:row>16</xdr:row>
      <xdr:rowOff>133350</xdr:rowOff>
    </xdr:to>
    <xdr:sp macro="" textlink="">
      <xdr:nvSpPr>
        <xdr:cNvPr id="51" name="TextBox 50">
          <a:extLst>
            <a:ext uri="{FF2B5EF4-FFF2-40B4-BE49-F238E27FC236}">
              <a16:creationId xmlns:a16="http://schemas.microsoft.com/office/drawing/2014/main" id="{05B75A85-C4F1-D390-EFB3-653DDBA57F87}"/>
            </a:ext>
          </a:extLst>
        </xdr:cNvPr>
        <xdr:cNvSpPr txBox="1"/>
      </xdr:nvSpPr>
      <xdr:spPr>
        <a:xfrm>
          <a:off x="679450" y="2908300"/>
          <a:ext cx="15176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a:solidFill>
                <a:schemeClr val="bg1"/>
              </a:solidFill>
            </a:rPr>
            <a:t>Kelci</a:t>
          </a:r>
          <a:r>
            <a:rPr lang="en-ID" sz="1200" baseline="0">
              <a:solidFill>
                <a:schemeClr val="bg1"/>
              </a:solidFill>
            </a:rPr>
            <a:t> Walkden</a:t>
          </a:r>
          <a:endParaRPr lang="en-ID" sz="1200">
            <a:solidFill>
              <a:schemeClr val="bg1"/>
            </a:solidFill>
          </a:endParaRPr>
        </a:p>
      </xdr:txBody>
    </xdr:sp>
    <xdr:clientData/>
  </xdr:twoCellAnchor>
  <xdr:twoCellAnchor>
    <xdr:from>
      <xdr:col>4</xdr:col>
      <xdr:colOff>482600</xdr:colOff>
      <xdr:row>15</xdr:row>
      <xdr:rowOff>44450</xdr:rowOff>
    </xdr:from>
    <xdr:to>
      <xdr:col>5</xdr:col>
      <xdr:colOff>228600</xdr:colOff>
      <xdr:row>16</xdr:row>
      <xdr:rowOff>127000</xdr:rowOff>
    </xdr:to>
    <xdr:sp macro="" textlink="pivot_tabel!$B$24">
      <xdr:nvSpPr>
        <xdr:cNvPr id="52" name="TextBox 51">
          <a:extLst>
            <a:ext uri="{FF2B5EF4-FFF2-40B4-BE49-F238E27FC236}">
              <a16:creationId xmlns:a16="http://schemas.microsoft.com/office/drawing/2014/main" id="{61F599DD-089E-4C42-805E-89F840FB64F3}"/>
            </a:ext>
          </a:extLst>
        </xdr:cNvPr>
        <xdr:cNvSpPr txBox="1"/>
      </xdr:nvSpPr>
      <xdr:spPr>
        <a:xfrm>
          <a:off x="2921000" y="2901950"/>
          <a:ext cx="3556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2A756D-4EF7-4B3B-91B3-D949D2159151}" type="TxLink">
            <a:rPr lang="en-US" sz="1200" b="0" i="0" u="none" strike="noStrike">
              <a:solidFill>
                <a:schemeClr val="bg1"/>
              </a:solidFill>
              <a:latin typeface="Aptos Narrow"/>
            </a:rPr>
            <a:t>54</a:t>
          </a:fld>
          <a:endParaRPr lang="en-ID" sz="1400">
            <a:solidFill>
              <a:schemeClr val="bg1"/>
            </a:solidFill>
          </a:endParaRPr>
        </a:p>
      </xdr:txBody>
    </xdr:sp>
    <xdr:clientData/>
  </xdr:twoCellAnchor>
  <xdr:twoCellAnchor>
    <xdr:from>
      <xdr:col>1</xdr:col>
      <xdr:colOff>69850</xdr:colOff>
      <xdr:row>16</xdr:row>
      <xdr:rowOff>106558</xdr:rowOff>
    </xdr:from>
    <xdr:to>
      <xdr:col>3</xdr:col>
      <xdr:colOff>368300</xdr:colOff>
      <xdr:row>17</xdr:row>
      <xdr:rowOff>187804</xdr:rowOff>
    </xdr:to>
    <xdr:sp macro="" textlink="">
      <xdr:nvSpPr>
        <xdr:cNvPr id="53" name="TextBox 52">
          <a:extLst>
            <a:ext uri="{FF2B5EF4-FFF2-40B4-BE49-F238E27FC236}">
              <a16:creationId xmlns:a16="http://schemas.microsoft.com/office/drawing/2014/main" id="{213244D8-FD59-447F-B3DD-D238E3DC8343}"/>
            </a:ext>
          </a:extLst>
        </xdr:cNvPr>
        <xdr:cNvSpPr txBox="1"/>
      </xdr:nvSpPr>
      <xdr:spPr>
        <a:xfrm>
          <a:off x="676579" y="3133681"/>
          <a:ext cx="1511909" cy="270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a:solidFill>
                <a:schemeClr val="bg1"/>
              </a:solidFill>
            </a:rPr>
            <a:t>Bien Boise</a:t>
          </a:r>
        </a:p>
      </xdr:txBody>
    </xdr:sp>
    <xdr:clientData/>
  </xdr:twoCellAnchor>
  <xdr:twoCellAnchor>
    <xdr:from>
      <xdr:col>4</xdr:col>
      <xdr:colOff>482600</xdr:colOff>
      <xdr:row>16</xdr:row>
      <xdr:rowOff>100208</xdr:rowOff>
    </xdr:from>
    <xdr:to>
      <xdr:col>5</xdr:col>
      <xdr:colOff>260350</xdr:colOff>
      <xdr:row>17</xdr:row>
      <xdr:rowOff>181454</xdr:rowOff>
    </xdr:to>
    <xdr:sp macro="" textlink="pivot_tabel!$B$25">
      <xdr:nvSpPr>
        <xdr:cNvPr id="54" name="TextBox 53">
          <a:extLst>
            <a:ext uri="{FF2B5EF4-FFF2-40B4-BE49-F238E27FC236}">
              <a16:creationId xmlns:a16="http://schemas.microsoft.com/office/drawing/2014/main" id="{0CC45FED-266A-472A-A2E2-5E704155F259}"/>
            </a:ext>
          </a:extLst>
        </xdr:cNvPr>
        <xdr:cNvSpPr txBox="1"/>
      </xdr:nvSpPr>
      <xdr:spPr>
        <a:xfrm>
          <a:off x="2909518" y="3127331"/>
          <a:ext cx="384479" cy="270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16F68D-5031-4658-BAB7-948BB11D6F7F}" type="TxLink">
            <a:rPr lang="en-US" sz="1200" b="0" i="0" u="none" strike="noStrike">
              <a:solidFill>
                <a:schemeClr val="bg1"/>
              </a:solidFill>
              <a:latin typeface="Aptos Narrow"/>
            </a:rPr>
            <a:t>53</a:t>
          </a:fld>
          <a:endParaRPr lang="en-ID" sz="1600">
            <a:solidFill>
              <a:schemeClr val="bg1"/>
            </a:solidFill>
          </a:endParaRPr>
        </a:p>
      </xdr:txBody>
    </xdr:sp>
    <xdr:clientData/>
  </xdr:twoCellAnchor>
  <xdr:twoCellAnchor>
    <xdr:from>
      <xdr:col>1</xdr:col>
      <xdr:colOff>69850</xdr:colOff>
      <xdr:row>18</xdr:row>
      <xdr:rowOff>10960</xdr:rowOff>
    </xdr:from>
    <xdr:to>
      <xdr:col>3</xdr:col>
      <xdr:colOff>368300</xdr:colOff>
      <xdr:row>19</xdr:row>
      <xdr:rowOff>93510</xdr:rowOff>
    </xdr:to>
    <xdr:sp macro="" textlink="">
      <xdr:nvSpPr>
        <xdr:cNvPr id="55" name="TextBox 54">
          <a:extLst>
            <a:ext uri="{FF2B5EF4-FFF2-40B4-BE49-F238E27FC236}">
              <a16:creationId xmlns:a16="http://schemas.microsoft.com/office/drawing/2014/main" id="{6461F448-E9CB-4EBC-91DE-6B83D58BB2C6}"/>
            </a:ext>
          </a:extLst>
        </xdr:cNvPr>
        <xdr:cNvSpPr txBox="1"/>
      </xdr:nvSpPr>
      <xdr:spPr>
        <a:xfrm>
          <a:off x="676579" y="3416474"/>
          <a:ext cx="1511909" cy="271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a:solidFill>
                <a:schemeClr val="bg1"/>
              </a:solidFill>
            </a:rPr>
            <a:t>Van Tuxwell</a:t>
          </a:r>
        </a:p>
      </xdr:txBody>
    </xdr:sp>
    <xdr:clientData/>
  </xdr:twoCellAnchor>
  <xdr:twoCellAnchor>
    <xdr:from>
      <xdr:col>4</xdr:col>
      <xdr:colOff>482600</xdr:colOff>
      <xdr:row>18</xdr:row>
      <xdr:rowOff>4610</xdr:rowOff>
    </xdr:from>
    <xdr:to>
      <xdr:col>5</xdr:col>
      <xdr:colOff>228600</xdr:colOff>
      <xdr:row>19</xdr:row>
      <xdr:rowOff>87160</xdr:rowOff>
    </xdr:to>
    <xdr:sp macro="" textlink="pivot_tabel!$B$26">
      <xdr:nvSpPr>
        <xdr:cNvPr id="56" name="TextBox 55">
          <a:extLst>
            <a:ext uri="{FF2B5EF4-FFF2-40B4-BE49-F238E27FC236}">
              <a16:creationId xmlns:a16="http://schemas.microsoft.com/office/drawing/2014/main" id="{6B57D3D3-4C88-47A5-88AD-D7C872603815}"/>
            </a:ext>
          </a:extLst>
        </xdr:cNvPr>
        <xdr:cNvSpPr txBox="1"/>
      </xdr:nvSpPr>
      <xdr:spPr>
        <a:xfrm>
          <a:off x="2909518" y="3410124"/>
          <a:ext cx="352729" cy="271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D70233-A281-4F67-9BB4-A08361AD4C84}" type="TxLink">
            <a:rPr lang="en-US" sz="1200" b="0" i="0" u="none" strike="noStrike">
              <a:solidFill>
                <a:schemeClr val="bg1"/>
              </a:solidFill>
              <a:latin typeface="Aptos Narrow"/>
            </a:rPr>
            <a:t>51</a:t>
          </a:fld>
          <a:endParaRPr lang="en-ID" sz="1600">
            <a:solidFill>
              <a:schemeClr val="bg1"/>
            </a:solidFill>
          </a:endParaRPr>
        </a:p>
      </xdr:txBody>
    </xdr:sp>
    <xdr:clientData/>
  </xdr:twoCellAnchor>
  <xdr:twoCellAnchor>
    <xdr:from>
      <xdr:col>1</xdr:col>
      <xdr:colOff>69850</xdr:colOff>
      <xdr:row>19</xdr:row>
      <xdr:rowOff>118910</xdr:rowOff>
    </xdr:from>
    <xdr:to>
      <xdr:col>3</xdr:col>
      <xdr:colOff>368300</xdr:colOff>
      <xdr:row>21</xdr:row>
      <xdr:rowOff>10960</xdr:rowOff>
    </xdr:to>
    <xdr:sp macro="" textlink="">
      <xdr:nvSpPr>
        <xdr:cNvPr id="57" name="TextBox 56">
          <a:extLst>
            <a:ext uri="{FF2B5EF4-FFF2-40B4-BE49-F238E27FC236}">
              <a16:creationId xmlns:a16="http://schemas.microsoft.com/office/drawing/2014/main" id="{FD38B137-5793-4848-85E7-C059D3143C01}"/>
            </a:ext>
          </a:extLst>
        </xdr:cNvPr>
        <xdr:cNvSpPr txBox="1"/>
      </xdr:nvSpPr>
      <xdr:spPr>
        <a:xfrm>
          <a:off x="676579" y="3713619"/>
          <a:ext cx="1511909" cy="270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a:solidFill>
                <a:schemeClr val="bg1"/>
              </a:solidFill>
            </a:rPr>
            <a:t>Beverie Moffet</a:t>
          </a:r>
        </a:p>
      </xdr:txBody>
    </xdr:sp>
    <xdr:clientData/>
  </xdr:twoCellAnchor>
  <xdr:twoCellAnchor>
    <xdr:from>
      <xdr:col>4</xdr:col>
      <xdr:colOff>482600</xdr:colOff>
      <xdr:row>19</xdr:row>
      <xdr:rowOff>112560</xdr:rowOff>
    </xdr:from>
    <xdr:to>
      <xdr:col>5</xdr:col>
      <xdr:colOff>228600</xdr:colOff>
      <xdr:row>21</xdr:row>
      <xdr:rowOff>4610</xdr:rowOff>
    </xdr:to>
    <xdr:sp macro="" textlink="pivot_tabel!$B$27">
      <xdr:nvSpPr>
        <xdr:cNvPr id="58" name="TextBox 57">
          <a:extLst>
            <a:ext uri="{FF2B5EF4-FFF2-40B4-BE49-F238E27FC236}">
              <a16:creationId xmlns:a16="http://schemas.microsoft.com/office/drawing/2014/main" id="{490770B9-38DC-4E7E-9D4D-BC703F213C17}"/>
            </a:ext>
          </a:extLst>
        </xdr:cNvPr>
        <xdr:cNvSpPr txBox="1"/>
      </xdr:nvSpPr>
      <xdr:spPr>
        <a:xfrm>
          <a:off x="2909518" y="3707269"/>
          <a:ext cx="352729" cy="270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8CB6E0-7C8D-4857-A173-390A28C12440}" type="TxLink">
            <a:rPr lang="en-US" sz="1200" b="0" i="0" u="none" strike="noStrike">
              <a:solidFill>
                <a:schemeClr val="bg1"/>
              </a:solidFill>
              <a:latin typeface="Aptos Narrow"/>
            </a:rPr>
            <a:t>50</a:t>
          </a:fld>
          <a:endParaRPr lang="en-ID" sz="1600">
            <a:solidFill>
              <a:schemeClr val="bg1"/>
            </a:solidFill>
          </a:endParaRPr>
        </a:p>
      </xdr:txBody>
    </xdr:sp>
    <xdr:clientData/>
  </xdr:twoCellAnchor>
  <xdr:twoCellAnchor>
    <xdr:from>
      <xdr:col>1</xdr:col>
      <xdr:colOff>76200</xdr:colOff>
      <xdr:row>21</xdr:row>
      <xdr:rowOff>36186</xdr:rowOff>
    </xdr:from>
    <xdr:to>
      <xdr:col>3</xdr:col>
      <xdr:colOff>374650</xdr:colOff>
      <xdr:row>22</xdr:row>
      <xdr:rowOff>117431</xdr:rowOff>
    </xdr:to>
    <xdr:sp macro="" textlink="">
      <xdr:nvSpPr>
        <xdr:cNvPr id="59" name="TextBox 58">
          <a:extLst>
            <a:ext uri="{FF2B5EF4-FFF2-40B4-BE49-F238E27FC236}">
              <a16:creationId xmlns:a16="http://schemas.microsoft.com/office/drawing/2014/main" id="{70C97C01-0C1E-4264-84E0-7786EE2A157A}"/>
            </a:ext>
          </a:extLst>
        </xdr:cNvPr>
        <xdr:cNvSpPr txBox="1"/>
      </xdr:nvSpPr>
      <xdr:spPr>
        <a:xfrm>
          <a:off x="682929" y="4009285"/>
          <a:ext cx="1511909" cy="270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a:solidFill>
                <a:schemeClr val="bg1"/>
              </a:solidFill>
            </a:rPr>
            <a:t>Oby</a:t>
          </a:r>
          <a:r>
            <a:rPr lang="en-ID" sz="1200" baseline="0">
              <a:solidFill>
                <a:schemeClr val="bg1"/>
              </a:solidFill>
            </a:rPr>
            <a:t> Sorrel</a:t>
          </a:r>
          <a:endParaRPr lang="en-ID" sz="1200">
            <a:solidFill>
              <a:schemeClr val="bg1"/>
            </a:solidFill>
          </a:endParaRPr>
        </a:p>
      </xdr:txBody>
    </xdr:sp>
    <xdr:clientData/>
  </xdr:twoCellAnchor>
  <xdr:twoCellAnchor>
    <xdr:from>
      <xdr:col>4</xdr:col>
      <xdr:colOff>488950</xdr:colOff>
      <xdr:row>21</xdr:row>
      <xdr:rowOff>29836</xdr:rowOff>
    </xdr:from>
    <xdr:to>
      <xdr:col>5</xdr:col>
      <xdr:colOff>234950</xdr:colOff>
      <xdr:row>22</xdr:row>
      <xdr:rowOff>112386</xdr:rowOff>
    </xdr:to>
    <xdr:sp macro="" textlink="pivot_tabel!$B$28">
      <xdr:nvSpPr>
        <xdr:cNvPr id="60" name="TextBox 59">
          <a:extLst>
            <a:ext uri="{FF2B5EF4-FFF2-40B4-BE49-F238E27FC236}">
              <a16:creationId xmlns:a16="http://schemas.microsoft.com/office/drawing/2014/main" id="{E0A1FAC7-84E4-4391-9ED1-3858AAEB3645}"/>
            </a:ext>
          </a:extLst>
        </xdr:cNvPr>
        <xdr:cNvSpPr txBox="1"/>
      </xdr:nvSpPr>
      <xdr:spPr>
        <a:xfrm>
          <a:off x="2915868" y="4002935"/>
          <a:ext cx="352729" cy="271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F9BF36-E6FA-4575-82FC-956D6724CC27}" type="TxLink">
            <a:rPr lang="en-US" sz="1200" b="0" i="0" u="none" strike="noStrike">
              <a:solidFill>
                <a:schemeClr val="bg1"/>
              </a:solidFill>
              <a:latin typeface="Aptos Narrow"/>
            </a:rPr>
            <a:t>49</a:t>
          </a:fld>
          <a:endParaRPr lang="en-ID" sz="1600">
            <a:solidFill>
              <a:schemeClr val="bg1"/>
            </a:solidFill>
          </a:endParaRPr>
        </a:p>
      </xdr:txBody>
    </xdr:sp>
    <xdr:clientData/>
  </xdr:twoCellAnchor>
  <xdr:twoCellAnchor>
    <xdr:from>
      <xdr:col>1</xdr:col>
      <xdr:colOff>46709</xdr:colOff>
      <xdr:row>26</xdr:row>
      <xdr:rowOff>86691</xdr:rowOff>
    </xdr:from>
    <xdr:to>
      <xdr:col>3</xdr:col>
      <xdr:colOff>345159</xdr:colOff>
      <xdr:row>27</xdr:row>
      <xdr:rowOff>169240</xdr:rowOff>
    </xdr:to>
    <xdr:sp macro="" textlink="">
      <xdr:nvSpPr>
        <xdr:cNvPr id="71" name="TextBox 70">
          <a:extLst>
            <a:ext uri="{FF2B5EF4-FFF2-40B4-BE49-F238E27FC236}">
              <a16:creationId xmlns:a16="http://schemas.microsoft.com/office/drawing/2014/main" id="{E34014F6-90FD-4A2D-9E67-3D1C86E09B35}"/>
            </a:ext>
          </a:extLst>
        </xdr:cNvPr>
        <xdr:cNvSpPr txBox="1"/>
      </xdr:nvSpPr>
      <xdr:spPr>
        <a:xfrm>
          <a:off x="653397" y="4976595"/>
          <a:ext cx="1511826" cy="270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a:solidFill>
                <a:schemeClr val="bg1"/>
              </a:solidFill>
            </a:rPr>
            <a:t>50% Dark Bites</a:t>
          </a:r>
        </a:p>
      </xdr:txBody>
    </xdr:sp>
    <xdr:clientData/>
  </xdr:twoCellAnchor>
  <xdr:twoCellAnchor>
    <xdr:from>
      <xdr:col>4</xdr:col>
      <xdr:colOff>459459</xdr:colOff>
      <xdr:row>26</xdr:row>
      <xdr:rowOff>80341</xdr:rowOff>
    </xdr:from>
    <xdr:to>
      <xdr:col>5</xdr:col>
      <xdr:colOff>205459</xdr:colOff>
      <xdr:row>27</xdr:row>
      <xdr:rowOff>162890</xdr:rowOff>
    </xdr:to>
    <xdr:sp macro="" textlink="pivot_tabel!F31">
      <xdr:nvSpPr>
        <xdr:cNvPr id="72" name="TextBox 71">
          <a:extLst>
            <a:ext uri="{FF2B5EF4-FFF2-40B4-BE49-F238E27FC236}">
              <a16:creationId xmlns:a16="http://schemas.microsoft.com/office/drawing/2014/main" id="{ABAF9764-4113-41F5-B197-CF21CDFAB6E0}"/>
            </a:ext>
          </a:extLst>
        </xdr:cNvPr>
        <xdr:cNvSpPr txBox="1"/>
      </xdr:nvSpPr>
      <xdr:spPr>
        <a:xfrm>
          <a:off x="2886211" y="4970245"/>
          <a:ext cx="352687" cy="270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478D13-F85C-44F8-80DE-64A2FB682585}" type="TxLink">
            <a:rPr lang="en-US" sz="1200" b="0" i="0" u="none" strike="noStrike">
              <a:solidFill>
                <a:schemeClr val="bg1"/>
              </a:solidFill>
              <a:latin typeface="Aptos Narrow"/>
            </a:rPr>
            <a:t>60</a:t>
          </a:fld>
          <a:endParaRPr lang="en-US" sz="1200">
            <a:solidFill>
              <a:schemeClr val="bg1"/>
            </a:solidFill>
          </a:endParaRPr>
        </a:p>
      </xdr:txBody>
    </xdr:sp>
    <xdr:clientData/>
  </xdr:twoCellAnchor>
  <xdr:twoCellAnchor>
    <xdr:from>
      <xdr:col>1</xdr:col>
      <xdr:colOff>46709</xdr:colOff>
      <xdr:row>27</xdr:row>
      <xdr:rowOff>142448</xdr:rowOff>
    </xdr:from>
    <xdr:to>
      <xdr:col>3</xdr:col>
      <xdr:colOff>345159</xdr:colOff>
      <xdr:row>29</xdr:row>
      <xdr:rowOff>35621</xdr:rowOff>
    </xdr:to>
    <xdr:sp macro="" textlink="">
      <xdr:nvSpPr>
        <xdr:cNvPr id="73" name="TextBox 72">
          <a:extLst>
            <a:ext uri="{FF2B5EF4-FFF2-40B4-BE49-F238E27FC236}">
              <a16:creationId xmlns:a16="http://schemas.microsoft.com/office/drawing/2014/main" id="{274B4E78-169F-4719-A07F-651CF340BD4D}"/>
            </a:ext>
          </a:extLst>
        </xdr:cNvPr>
        <xdr:cNvSpPr txBox="1"/>
      </xdr:nvSpPr>
      <xdr:spPr>
        <a:xfrm>
          <a:off x="653397" y="5220426"/>
          <a:ext cx="1511826" cy="269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a:solidFill>
                <a:schemeClr val="bg1"/>
              </a:solidFill>
            </a:rPr>
            <a:t>Eclairs</a:t>
          </a:r>
        </a:p>
      </xdr:txBody>
    </xdr:sp>
    <xdr:clientData/>
  </xdr:twoCellAnchor>
  <xdr:twoCellAnchor>
    <xdr:from>
      <xdr:col>4</xdr:col>
      <xdr:colOff>459459</xdr:colOff>
      <xdr:row>27</xdr:row>
      <xdr:rowOff>136098</xdr:rowOff>
    </xdr:from>
    <xdr:to>
      <xdr:col>5</xdr:col>
      <xdr:colOff>237209</xdr:colOff>
      <xdr:row>29</xdr:row>
      <xdr:rowOff>29271</xdr:rowOff>
    </xdr:to>
    <xdr:sp macro="" textlink="pivot_tabel!F32">
      <xdr:nvSpPr>
        <xdr:cNvPr id="74" name="TextBox 73">
          <a:extLst>
            <a:ext uri="{FF2B5EF4-FFF2-40B4-BE49-F238E27FC236}">
              <a16:creationId xmlns:a16="http://schemas.microsoft.com/office/drawing/2014/main" id="{24F56123-4058-4B17-8090-C765A6B818D2}"/>
            </a:ext>
          </a:extLst>
        </xdr:cNvPr>
        <xdr:cNvSpPr txBox="1"/>
      </xdr:nvSpPr>
      <xdr:spPr>
        <a:xfrm>
          <a:off x="2886211" y="5214076"/>
          <a:ext cx="384437" cy="269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398105-A2FC-4995-A398-E9400C9825BC}" type="TxLink">
            <a:rPr lang="en-US" sz="1200" b="0" i="0" u="none" strike="noStrike">
              <a:solidFill>
                <a:schemeClr val="bg1"/>
              </a:solidFill>
              <a:latin typeface="Aptos Narrow"/>
            </a:rPr>
            <a:t>60</a:t>
          </a:fld>
          <a:endParaRPr lang="en-ID" sz="2000">
            <a:solidFill>
              <a:schemeClr val="bg1"/>
            </a:solidFill>
          </a:endParaRPr>
        </a:p>
      </xdr:txBody>
    </xdr:sp>
    <xdr:clientData/>
  </xdr:twoCellAnchor>
  <xdr:twoCellAnchor>
    <xdr:from>
      <xdr:col>1</xdr:col>
      <xdr:colOff>46709</xdr:colOff>
      <xdr:row>29</xdr:row>
      <xdr:rowOff>46850</xdr:rowOff>
    </xdr:from>
    <xdr:to>
      <xdr:col>3</xdr:col>
      <xdr:colOff>345159</xdr:colOff>
      <xdr:row>30</xdr:row>
      <xdr:rowOff>129401</xdr:rowOff>
    </xdr:to>
    <xdr:sp macro="" textlink="">
      <xdr:nvSpPr>
        <xdr:cNvPr id="75" name="TextBox 74">
          <a:extLst>
            <a:ext uri="{FF2B5EF4-FFF2-40B4-BE49-F238E27FC236}">
              <a16:creationId xmlns:a16="http://schemas.microsoft.com/office/drawing/2014/main" id="{D234B09B-7F76-440B-A962-6CD52E4D173C}"/>
            </a:ext>
          </a:extLst>
        </xdr:cNvPr>
        <xdr:cNvSpPr txBox="1"/>
      </xdr:nvSpPr>
      <xdr:spPr>
        <a:xfrm>
          <a:off x="653397" y="5500974"/>
          <a:ext cx="1511826" cy="270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a:solidFill>
                <a:schemeClr val="bg1"/>
              </a:solidFill>
            </a:rPr>
            <a:t>Smooth Sliky Salty</a:t>
          </a:r>
        </a:p>
      </xdr:txBody>
    </xdr:sp>
    <xdr:clientData/>
  </xdr:twoCellAnchor>
  <xdr:twoCellAnchor>
    <xdr:from>
      <xdr:col>4</xdr:col>
      <xdr:colOff>459459</xdr:colOff>
      <xdr:row>29</xdr:row>
      <xdr:rowOff>40500</xdr:rowOff>
    </xdr:from>
    <xdr:to>
      <xdr:col>5</xdr:col>
      <xdr:colOff>205459</xdr:colOff>
      <xdr:row>30</xdr:row>
      <xdr:rowOff>123051</xdr:rowOff>
    </xdr:to>
    <xdr:sp macro="" textlink="pivot_tabel!F33">
      <xdr:nvSpPr>
        <xdr:cNvPr id="76" name="TextBox 75">
          <a:extLst>
            <a:ext uri="{FF2B5EF4-FFF2-40B4-BE49-F238E27FC236}">
              <a16:creationId xmlns:a16="http://schemas.microsoft.com/office/drawing/2014/main" id="{AC16C16C-06D5-4650-8ECB-A9F66687D6BF}"/>
            </a:ext>
          </a:extLst>
        </xdr:cNvPr>
        <xdr:cNvSpPr txBox="1"/>
      </xdr:nvSpPr>
      <xdr:spPr>
        <a:xfrm>
          <a:off x="2886211" y="5494624"/>
          <a:ext cx="352687" cy="270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DDB1DF-AFAE-4FC1-B3AB-778B3ECACC98}" type="TxLink">
            <a:rPr lang="en-US" sz="1200" b="0" i="0" u="none" strike="noStrike">
              <a:solidFill>
                <a:schemeClr val="bg1"/>
              </a:solidFill>
              <a:latin typeface="Aptos Narrow"/>
            </a:rPr>
            <a:t>59</a:t>
          </a:fld>
          <a:endParaRPr lang="en-ID" sz="2000">
            <a:solidFill>
              <a:schemeClr val="bg1"/>
            </a:solidFill>
          </a:endParaRPr>
        </a:p>
      </xdr:txBody>
    </xdr:sp>
    <xdr:clientData/>
  </xdr:twoCellAnchor>
  <xdr:twoCellAnchor>
    <xdr:from>
      <xdr:col>1</xdr:col>
      <xdr:colOff>46709</xdr:colOff>
      <xdr:row>30</xdr:row>
      <xdr:rowOff>154801</xdr:rowOff>
    </xdr:from>
    <xdr:to>
      <xdr:col>3</xdr:col>
      <xdr:colOff>345159</xdr:colOff>
      <xdr:row>32</xdr:row>
      <xdr:rowOff>46850</xdr:rowOff>
    </xdr:to>
    <xdr:sp macro="" textlink="">
      <xdr:nvSpPr>
        <xdr:cNvPr id="77" name="TextBox 76">
          <a:extLst>
            <a:ext uri="{FF2B5EF4-FFF2-40B4-BE49-F238E27FC236}">
              <a16:creationId xmlns:a16="http://schemas.microsoft.com/office/drawing/2014/main" id="{AA9E9342-9DBF-4F0E-81AD-99E9E4F36F4C}"/>
            </a:ext>
          </a:extLst>
        </xdr:cNvPr>
        <xdr:cNvSpPr txBox="1"/>
      </xdr:nvSpPr>
      <xdr:spPr>
        <a:xfrm>
          <a:off x="653397" y="5796998"/>
          <a:ext cx="1511826" cy="268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a:solidFill>
                <a:schemeClr val="bg1"/>
              </a:solidFill>
            </a:rPr>
            <a:t>White Choc</a:t>
          </a:r>
        </a:p>
      </xdr:txBody>
    </xdr:sp>
    <xdr:clientData/>
  </xdr:twoCellAnchor>
  <xdr:twoCellAnchor>
    <xdr:from>
      <xdr:col>4</xdr:col>
      <xdr:colOff>459459</xdr:colOff>
      <xdr:row>30</xdr:row>
      <xdr:rowOff>148451</xdr:rowOff>
    </xdr:from>
    <xdr:to>
      <xdr:col>5</xdr:col>
      <xdr:colOff>205459</xdr:colOff>
      <xdr:row>32</xdr:row>
      <xdr:rowOff>40500</xdr:rowOff>
    </xdr:to>
    <xdr:sp macro="" textlink="pivot_tabel!F34">
      <xdr:nvSpPr>
        <xdr:cNvPr id="78" name="TextBox 77">
          <a:extLst>
            <a:ext uri="{FF2B5EF4-FFF2-40B4-BE49-F238E27FC236}">
              <a16:creationId xmlns:a16="http://schemas.microsoft.com/office/drawing/2014/main" id="{8A2E1F67-AE11-4393-8FA4-2926BA43C145}"/>
            </a:ext>
          </a:extLst>
        </xdr:cNvPr>
        <xdr:cNvSpPr txBox="1"/>
      </xdr:nvSpPr>
      <xdr:spPr>
        <a:xfrm>
          <a:off x="2886211" y="5790648"/>
          <a:ext cx="352687" cy="268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210D03-B826-40D0-B096-31DAC2347F01}" type="TxLink">
            <a:rPr lang="en-US" sz="1200" b="0" i="0" u="none" strike="noStrike">
              <a:solidFill>
                <a:schemeClr val="bg1"/>
              </a:solidFill>
              <a:latin typeface="Aptos Narrow"/>
            </a:rPr>
            <a:t>58</a:t>
          </a:fld>
          <a:endParaRPr lang="en-ID" sz="2000">
            <a:solidFill>
              <a:schemeClr val="bg1"/>
            </a:solidFill>
          </a:endParaRPr>
        </a:p>
      </xdr:txBody>
    </xdr:sp>
    <xdr:clientData/>
  </xdr:twoCellAnchor>
  <xdr:twoCellAnchor>
    <xdr:from>
      <xdr:col>1</xdr:col>
      <xdr:colOff>53059</xdr:colOff>
      <xdr:row>32</xdr:row>
      <xdr:rowOff>72076</xdr:rowOff>
    </xdr:from>
    <xdr:to>
      <xdr:col>3</xdr:col>
      <xdr:colOff>351509</xdr:colOff>
      <xdr:row>33</xdr:row>
      <xdr:rowOff>153321</xdr:rowOff>
    </xdr:to>
    <xdr:sp macro="" textlink="">
      <xdr:nvSpPr>
        <xdr:cNvPr id="79" name="TextBox 78">
          <a:extLst>
            <a:ext uri="{FF2B5EF4-FFF2-40B4-BE49-F238E27FC236}">
              <a16:creationId xmlns:a16="http://schemas.microsoft.com/office/drawing/2014/main" id="{B5B39746-7601-4F46-BF36-325481288DF9}"/>
            </a:ext>
          </a:extLst>
        </xdr:cNvPr>
        <xdr:cNvSpPr txBox="1"/>
      </xdr:nvSpPr>
      <xdr:spPr>
        <a:xfrm>
          <a:off x="659747" y="6090420"/>
          <a:ext cx="1511826" cy="269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a:solidFill>
                <a:schemeClr val="bg1"/>
              </a:solidFill>
            </a:rPr>
            <a:t>Drinking Choco</a:t>
          </a:r>
        </a:p>
      </xdr:txBody>
    </xdr:sp>
    <xdr:clientData/>
  </xdr:twoCellAnchor>
  <xdr:twoCellAnchor>
    <xdr:from>
      <xdr:col>4</xdr:col>
      <xdr:colOff>465809</xdr:colOff>
      <xdr:row>32</xdr:row>
      <xdr:rowOff>65726</xdr:rowOff>
    </xdr:from>
    <xdr:to>
      <xdr:col>5</xdr:col>
      <xdr:colOff>211809</xdr:colOff>
      <xdr:row>33</xdr:row>
      <xdr:rowOff>148276</xdr:rowOff>
    </xdr:to>
    <xdr:sp macro="" textlink="pivot_tabel!F35">
      <xdr:nvSpPr>
        <xdr:cNvPr id="80" name="TextBox 79">
          <a:extLst>
            <a:ext uri="{FF2B5EF4-FFF2-40B4-BE49-F238E27FC236}">
              <a16:creationId xmlns:a16="http://schemas.microsoft.com/office/drawing/2014/main" id="{F094D84F-ACA0-4C46-9F3B-4DAAD179D552}"/>
            </a:ext>
          </a:extLst>
        </xdr:cNvPr>
        <xdr:cNvSpPr txBox="1"/>
      </xdr:nvSpPr>
      <xdr:spPr>
        <a:xfrm>
          <a:off x="2892561" y="6084070"/>
          <a:ext cx="352687" cy="270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D80EA1-45C0-4A75-895A-1C51B209F73E}" type="TxLink">
            <a:rPr lang="en-US" sz="1200" b="0" i="0" u="none" strike="noStrike">
              <a:solidFill>
                <a:schemeClr val="bg1"/>
              </a:solidFill>
              <a:latin typeface="Aptos Narrow"/>
            </a:rPr>
            <a:t>56</a:t>
          </a:fld>
          <a:endParaRPr lang="en-ID" sz="2000">
            <a:solidFill>
              <a:schemeClr val="bg1"/>
            </a:solidFill>
          </a:endParaRPr>
        </a:p>
      </xdr:txBody>
    </xdr:sp>
    <xdr:clientData/>
  </xdr:twoCellAnchor>
  <xdr:twoCellAnchor>
    <xdr:from>
      <xdr:col>1</xdr:col>
      <xdr:colOff>56555</xdr:colOff>
      <xdr:row>37</xdr:row>
      <xdr:rowOff>188850</xdr:rowOff>
    </xdr:from>
    <xdr:to>
      <xdr:col>3</xdr:col>
      <xdr:colOff>355005</xdr:colOff>
      <xdr:row>39</xdr:row>
      <xdr:rowOff>79576</xdr:rowOff>
    </xdr:to>
    <xdr:sp macro="" textlink="">
      <xdr:nvSpPr>
        <xdr:cNvPr id="90" name="TextBox 89">
          <a:extLst>
            <a:ext uri="{FF2B5EF4-FFF2-40B4-BE49-F238E27FC236}">
              <a16:creationId xmlns:a16="http://schemas.microsoft.com/office/drawing/2014/main" id="{E7218E03-28A2-4C39-A9DA-71EE043BEC4F}"/>
            </a:ext>
          </a:extLst>
        </xdr:cNvPr>
        <xdr:cNvSpPr txBox="1"/>
      </xdr:nvSpPr>
      <xdr:spPr>
        <a:xfrm>
          <a:off x="665097" y="7286298"/>
          <a:ext cx="1515533" cy="274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a:solidFill>
                <a:schemeClr val="bg1"/>
              </a:solidFill>
            </a:rPr>
            <a:t>Mint Chip Choco</a:t>
          </a:r>
        </a:p>
      </xdr:txBody>
    </xdr:sp>
    <xdr:clientData/>
  </xdr:twoCellAnchor>
  <xdr:twoCellAnchor>
    <xdr:from>
      <xdr:col>4</xdr:col>
      <xdr:colOff>469305</xdr:colOff>
      <xdr:row>37</xdr:row>
      <xdr:rowOff>182500</xdr:rowOff>
    </xdr:from>
    <xdr:to>
      <xdr:col>5</xdr:col>
      <xdr:colOff>215305</xdr:colOff>
      <xdr:row>39</xdr:row>
      <xdr:rowOff>73226</xdr:rowOff>
    </xdr:to>
    <xdr:sp macro="" textlink="pivot_tabel!F48">
      <xdr:nvSpPr>
        <xdr:cNvPr id="91" name="TextBox 90">
          <a:extLst>
            <a:ext uri="{FF2B5EF4-FFF2-40B4-BE49-F238E27FC236}">
              <a16:creationId xmlns:a16="http://schemas.microsoft.com/office/drawing/2014/main" id="{51898E24-4B0F-43D2-93DC-1C6586EA2F68}"/>
            </a:ext>
          </a:extLst>
        </xdr:cNvPr>
        <xdr:cNvSpPr txBox="1"/>
      </xdr:nvSpPr>
      <xdr:spPr>
        <a:xfrm>
          <a:off x="2903472" y="7279948"/>
          <a:ext cx="354541" cy="274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25D10C-3D13-440A-91B7-7CFDCCD32290}" type="TxLink">
            <a:rPr lang="en-US" sz="1200" b="0" i="0" u="none" strike="noStrike">
              <a:solidFill>
                <a:schemeClr val="bg1"/>
              </a:solidFill>
              <a:latin typeface="Aptos Narrow"/>
            </a:rPr>
            <a:t>45</a:t>
          </a:fld>
          <a:endParaRPr lang="en-ID" sz="2000">
            <a:solidFill>
              <a:schemeClr val="bg1"/>
            </a:solidFill>
          </a:endParaRPr>
        </a:p>
      </xdr:txBody>
    </xdr:sp>
    <xdr:clientData/>
  </xdr:twoCellAnchor>
  <xdr:twoCellAnchor>
    <xdr:from>
      <xdr:col>1</xdr:col>
      <xdr:colOff>56555</xdr:colOff>
      <xdr:row>39</xdr:row>
      <xdr:rowOff>52784</xdr:rowOff>
    </xdr:from>
    <xdr:to>
      <xdr:col>3</xdr:col>
      <xdr:colOff>355005</xdr:colOff>
      <xdr:row>40</xdr:row>
      <xdr:rowOff>132529</xdr:rowOff>
    </xdr:to>
    <xdr:sp macro="" textlink="">
      <xdr:nvSpPr>
        <xdr:cNvPr id="92" name="TextBox 91">
          <a:extLst>
            <a:ext uri="{FF2B5EF4-FFF2-40B4-BE49-F238E27FC236}">
              <a16:creationId xmlns:a16="http://schemas.microsoft.com/office/drawing/2014/main" id="{19FB8324-61AB-4C31-A833-21D337C852FF}"/>
            </a:ext>
          </a:extLst>
        </xdr:cNvPr>
        <xdr:cNvSpPr txBox="1"/>
      </xdr:nvSpPr>
      <xdr:spPr>
        <a:xfrm>
          <a:off x="665097" y="7533878"/>
          <a:ext cx="1515533" cy="271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a:solidFill>
                <a:schemeClr val="bg1"/>
              </a:solidFill>
            </a:rPr>
            <a:t>Caramel Stuffed Bars</a:t>
          </a:r>
        </a:p>
      </xdr:txBody>
    </xdr:sp>
    <xdr:clientData/>
  </xdr:twoCellAnchor>
  <xdr:twoCellAnchor>
    <xdr:from>
      <xdr:col>4</xdr:col>
      <xdr:colOff>469305</xdr:colOff>
      <xdr:row>39</xdr:row>
      <xdr:rowOff>46434</xdr:rowOff>
    </xdr:from>
    <xdr:to>
      <xdr:col>5</xdr:col>
      <xdr:colOff>247055</xdr:colOff>
      <xdr:row>40</xdr:row>
      <xdr:rowOff>126179</xdr:rowOff>
    </xdr:to>
    <xdr:sp macro="" textlink="pivot_tabel!F49">
      <xdr:nvSpPr>
        <xdr:cNvPr id="93" name="TextBox 92">
          <a:extLst>
            <a:ext uri="{FF2B5EF4-FFF2-40B4-BE49-F238E27FC236}">
              <a16:creationId xmlns:a16="http://schemas.microsoft.com/office/drawing/2014/main" id="{FAE58434-2B48-4DEE-B5AF-A2A6D30F89BE}"/>
            </a:ext>
          </a:extLst>
        </xdr:cNvPr>
        <xdr:cNvSpPr txBox="1"/>
      </xdr:nvSpPr>
      <xdr:spPr>
        <a:xfrm>
          <a:off x="2903472" y="7527528"/>
          <a:ext cx="386291" cy="271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0DA325-D7F4-47F1-A493-B66D513DEECF}" type="TxLink">
            <a:rPr lang="en-US" sz="1200" b="0" i="0" u="none" strike="noStrike">
              <a:solidFill>
                <a:schemeClr val="bg1"/>
              </a:solidFill>
              <a:latin typeface="Aptos Narrow"/>
            </a:rPr>
            <a:t>43</a:t>
          </a:fld>
          <a:endParaRPr lang="en-ID" sz="2400">
            <a:solidFill>
              <a:schemeClr val="bg1"/>
            </a:solidFill>
          </a:endParaRPr>
        </a:p>
      </xdr:txBody>
    </xdr:sp>
    <xdr:clientData/>
  </xdr:twoCellAnchor>
  <xdr:twoCellAnchor>
    <xdr:from>
      <xdr:col>1</xdr:col>
      <xdr:colOff>56555</xdr:colOff>
      <xdr:row>40</xdr:row>
      <xdr:rowOff>143758</xdr:rowOff>
    </xdr:from>
    <xdr:to>
      <xdr:col>3</xdr:col>
      <xdr:colOff>355005</xdr:colOff>
      <xdr:row>42</xdr:row>
      <xdr:rowOff>39737</xdr:rowOff>
    </xdr:to>
    <xdr:sp macro="" textlink="">
      <xdr:nvSpPr>
        <xdr:cNvPr id="94" name="TextBox 93">
          <a:extLst>
            <a:ext uri="{FF2B5EF4-FFF2-40B4-BE49-F238E27FC236}">
              <a16:creationId xmlns:a16="http://schemas.microsoft.com/office/drawing/2014/main" id="{5759B4F9-DF26-40A8-A0EB-4B23864D021A}"/>
            </a:ext>
          </a:extLst>
        </xdr:cNvPr>
        <xdr:cNvSpPr txBox="1"/>
      </xdr:nvSpPr>
      <xdr:spPr>
        <a:xfrm>
          <a:off x="665097" y="7816675"/>
          <a:ext cx="1515533" cy="27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a:solidFill>
                <a:schemeClr val="bg1"/>
              </a:solidFill>
            </a:rPr>
            <a:t>70% Dark Bites</a:t>
          </a:r>
        </a:p>
      </xdr:txBody>
    </xdr:sp>
    <xdr:clientData/>
  </xdr:twoCellAnchor>
  <xdr:twoCellAnchor>
    <xdr:from>
      <xdr:col>4</xdr:col>
      <xdr:colOff>469305</xdr:colOff>
      <xdr:row>40</xdr:row>
      <xdr:rowOff>137408</xdr:rowOff>
    </xdr:from>
    <xdr:to>
      <xdr:col>5</xdr:col>
      <xdr:colOff>215305</xdr:colOff>
      <xdr:row>42</xdr:row>
      <xdr:rowOff>33387</xdr:rowOff>
    </xdr:to>
    <xdr:sp macro="" textlink="pivot_tabel!F50">
      <xdr:nvSpPr>
        <xdr:cNvPr id="95" name="TextBox 94">
          <a:extLst>
            <a:ext uri="{FF2B5EF4-FFF2-40B4-BE49-F238E27FC236}">
              <a16:creationId xmlns:a16="http://schemas.microsoft.com/office/drawing/2014/main" id="{1A656681-C118-4272-A8EE-683B588012F8}"/>
            </a:ext>
          </a:extLst>
        </xdr:cNvPr>
        <xdr:cNvSpPr txBox="1"/>
      </xdr:nvSpPr>
      <xdr:spPr>
        <a:xfrm>
          <a:off x="2903472" y="7810325"/>
          <a:ext cx="354541" cy="27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078D2C-5C3E-4A56-AD9A-A1279584CED6}" type="TxLink">
            <a:rPr lang="en-US" sz="1200" b="0" i="0" u="none" strike="noStrike">
              <a:solidFill>
                <a:schemeClr val="bg1"/>
              </a:solidFill>
              <a:latin typeface="Aptos Narrow"/>
            </a:rPr>
            <a:t>42</a:t>
          </a:fld>
          <a:endParaRPr lang="en-ID" sz="2400">
            <a:solidFill>
              <a:schemeClr val="bg1"/>
            </a:solidFill>
          </a:endParaRPr>
        </a:p>
      </xdr:txBody>
    </xdr:sp>
    <xdr:clientData/>
  </xdr:twoCellAnchor>
  <xdr:twoCellAnchor>
    <xdr:from>
      <xdr:col>1</xdr:col>
      <xdr:colOff>56555</xdr:colOff>
      <xdr:row>42</xdr:row>
      <xdr:rowOff>65137</xdr:rowOff>
    </xdr:from>
    <xdr:to>
      <xdr:col>3</xdr:col>
      <xdr:colOff>355005</xdr:colOff>
      <xdr:row>43</xdr:row>
      <xdr:rowOff>143758</xdr:rowOff>
    </xdr:to>
    <xdr:sp macro="" textlink="">
      <xdr:nvSpPr>
        <xdr:cNvPr id="96" name="TextBox 95">
          <a:extLst>
            <a:ext uri="{FF2B5EF4-FFF2-40B4-BE49-F238E27FC236}">
              <a16:creationId xmlns:a16="http://schemas.microsoft.com/office/drawing/2014/main" id="{EC018FF5-C5F8-461E-9327-B4AD1C53CF69}"/>
            </a:ext>
          </a:extLst>
        </xdr:cNvPr>
        <xdr:cNvSpPr txBox="1"/>
      </xdr:nvSpPr>
      <xdr:spPr>
        <a:xfrm>
          <a:off x="665097" y="8121700"/>
          <a:ext cx="1515533" cy="270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a:solidFill>
                <a:schemeClr val="bg1"/>
              </a:solidFill>
            </a:rPr>
            <a:t>Baker's</a:t>
          </a:r>
          <a:r>
            <a:rPr lang="en-ID" sz="1200" baseline="0">
              <a:solidFill>
                <a:schemeClr val="bg1"/>
              </a:solidFill>
            </a:rPr>
            <a:t> Choco Chips</a:t>
          </a:r>
          <a:endParaRPr lang="en-ID" sz="1200">
            <a:solidFill>
              <a:schemeClr val="bg1"/>
            </a:solidFill>
          </a:endParaRPr>
        </a:p>
      </xdr:txBody>
    </xdr:sp>
    <xdr:clientData/>
  </xdr:twoCellAnchor>
  <xdr:twoCellAnchor>
    <xdr:from>
      <xdr:col>4</xdr:col>
      <xdr:colOff>469305</xdr:colOff>
      <xdr:row>42</xdr:row>
      <xdr:rowOff>58787</xdr:rowOff>
    </xdr:from>
    <xdr:to>
      <xdr:col>5</xdr:col>
      <xdr:colOff>215305</xdr:colOff>
      <xdr:row>43</xdr:row>
      <xdr:rowOff>137408</xdr:rowOff>
    </xdr:to>
    <xdr:sp macro="" textlink="pivot_tabel!F51">
      <xdr:nvSpPr>
        <xdr:cNvPr id="97" name="TextBox 96">
          <a:extLst>
            <a:ext uri="{FF2B5EF4-FFF2-40B4-BE49-F238E27FC236}">
              <a16:creationId xmlns:a16="http://schemas.microsoft.com/office/drawing/2014/main" id="{A2FCB6B2-E75D-49AE-AE95-1BA4150DD39F}"/>
            </a:ext>
          </a:extLst>
        </xdr:cNvPr>
        <xdr:cNvSpPr txBox="1"/>
      </xdr:nvSpPr>
      <xdr:spPr>
        <a:xfrm>
          <a:off x="2903472" y="8115350"/>
          <a:ext cx="354541" cy="270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697891-A8E6-4CBA-BEF2-F35A16FC49BB}" type="TxLink">
            <a:rPr lang="en-US" sz="1200" b="0" i="0" u="none" strike="noStrike">
              <a:solidFill>
                <a:schemeClr val="bg1"/>
              </a:solidFill>
              <a:latin typeface="Aptos Narrow"/>
            </a:rPr>
            <a:t>41</a:t>
          </a:fld>
          <a:endParaRPr lang="en-ID" sz="2400">
            <a:solidFill>
              <a:schemeClr val="bg1"/>
            </a:solidFill>
          </a:endParaRPr>
        </a:p>
      </xdr:txBody>
    </xdr:sp>
    <xdr:clientData/>
  </xdr:twoCellAnchor>
  <xdr:twoCellAnchor>
    <xdr:from>
      <xdr:col>1</xdr:col>
      <xdr:colOff>62905</xdr:colOff>
      <xdr:row>43</xdr:row>
      <xdr:rowOff>174235</xdr:rowOff>
    </xdr:from>
    <xdr:to>
      <xdr:col>3</xdr:col>
      <xdr:colOff>515938</xdr:colOff>
      <xdr:row>45</xdr:row>
      <xdr:rowOff>63657</xdr:rowOff>
    </xdr:to>
    <xdr:sp macro="" textlink="">
      <xdr:nvSpPr>
        <xdr:cNvPr id="98" name="TextBox 97">
          <a:extLst>
            <a:ext uri="{FF2B5EF4-FFF2-40B4-BE49-F238E27FC236}">
              <a16:creationId xmlns:a16="http://schemas.microsoft.com/office/drawing/2014/main" id="{DB644BF3-5325-4C2D-9AF1-6027F4001DDA}"/>
            </a:ext>
          </a:extLst>
        </xdr:cNvPr>
        <xdr:cNvSpPr txBox="1"/>
      </xdr:nvSpPr>
      <xdr:spPr>
        <a:xfrm>
          <a:off x="671447" y="8422620"/>
          <a:ext cx="1670116" cy="273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a:solidFill>
                <a:schemeClr val="bg1"/>
              </a:solidFill>
            </a:rPr>
            <a:t>Choco Coated</a:t>
          </a:r>
          <a:r>
            <a:rPr lang="en-ID" sz="1200" baseline="0">
              <a:solidFill>
                <a:schemeClr val="bg1"/>
              </a:solidFill>
            </a:rPr>
            <a:t> Almonds </a:t>
          </a:r>
          <a:endParaRPr lang="en-ID" sz="1200">
            <a:solidFill>
              <a:schemeClr val="bg1"/>
            </a:solidFill>
          </a:endParaRPr>
        </a:p>
      </xdr:txBody>
    </xdr:sp>
    <xdr:clientData/>
  </xdr:twoCellAnchor>
  <xdr:twoCellAnchor>
    <xdr:from>
      <xdr:col>4</xdr:col>
      <xdr:colOff>475655</xdr:colOff>
      <xdr:row>43</xdr:row>
      <xdr:rowOff>167885</xdr:rowOff>
    </xdr:from>
    <xdr:to>
      <xdr:col>5</xdr:col>
      <xdr:colOff>221655</xdr:colOff>
      <xdr:row>45</xdr:row>
      <xdr:rowOff>58612</xdr:rowOff>
    </xdr:to>
    <xdr:sp macro="" textlink="pivot_tabel!F52">
      <xdr:nvSpPr>
        <xdr:cNvPr id="99" name="TextBox 98">
          <a:extLst>
            <a:ext uri="{FF2B5EF4-FFF2-40B4-BE49-F238E27FC236}">
              <a16:creationId xmlns:a16="http://schemas.microsoft.com/office/drawing/2014/main" id="{65DEC7D1-E598-4371-BA7B-38F3B165D129}"/>
            </a:ext>
          </a:extLst>
        </xdr:cNvPr>
        <xdr:cNvSpPr txBox="1"/>
      </xdr:nvSpPr>
      <xdr:spPr>
        <a:xfrm>
          <a:off x="2909822" y="8416270"/>
          <a:ext cx="354541" cy="274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B82BDD-0F4D-461F-B524-57FF76F0BAEC}" type="TxLink">
            <a:rPr lang="en-US" sz="1200" b="0" i="0" u="none" strike="noStrike">
              <a:solidFill>
                <a:schemeClr val="bg1"/>
              </a:solidFill>
              <a:latin typeface="Aptos Narrow"/>
            </a:rPr>
            <a:t>39</a:t>
          </a:fld>
          <a:endParaRPr lang="en-ID" sz="2400">
            <a:solidFill>
              <a:schemeClr val="bg1"/>
            </a:solidFill>
          </a:endParaRPr>
        </a:p>
      </xdr:txBody>
    </xdr:sp>
    <xdr:clientData/>
  </xdr:twoCellAnchor>
  <xdr:twoCellAnchor>
    <xdr:from>
      <xdr:col>22</xdr:col>
      <xdr:colOff>78432</xdr:colOff>
      <xdr:row>15</xdr:row>
      <xdr:rowOff>1561</xdr:rowOff>
    </xdr:from>
    <xdr:to>
      <xdr:col>26</xdr:col>
      <xdr:colOff>549012</xdr:colOff>
      <xdr:row>22</xdr:row>
      <xdr:rowOff>115233</xdr:rowOff>
    </xdr:to>
    <xdr:graphicFrame macro="">
      <xdr:nvGraphicFramePr>
        <xdr:cNvPr id="100" name="Chart 99">
          <a:extLst>
            <a:ext uri="{FF2B5EF4-FFF2-40B4-BE49-F238E27FC236}">
              <a16:creationId xmlns:a16="http://schemas.microsoft.com/office/drawing/2014/main" id="{81CD3EED-25DB-41A7-B1B1-C824D73D2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102420</xdr:colOff>
      <xdr:row>37</xdr:row>
      <xdr:rowOff>81196</xdr:rowOff>
    </xdr:from>
    <xdr:to>
      <xdr:col>27</xdr:col>
      <xdr:colOff>53865</xdr:colOff>
      <xdr:row>46</xdr:row>
      <xdr:rowOff>53798</xdr:rowOff>
    </xdr:to>
    <xdr:graphicFrame macro="">
      <xdr:nvGraphicFramePr>
        <xdr:cNvPr id="101" name="Chart 100">
          <a:extLst>
            <a:ext uri="{FF2B5EF4-FFF2-40B4-BE49-F238E27FC236}">
              <a16:creationId xmlns:a16="http://schemas.microsoft.com/office/drawing/2014/main" id="{6F314AEE-35C0-4E27-A7D4-A96464081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531173</xdr:colOff>
      <xdr:row>1</xdr:row>
      <xdr:rowOff>91128</xdr:rowOff>
    </xdr:from>
    <xdr:to>
      <xdr:col>5</xdr:col>
      <xdr:colOff>497752</xdr:colOff>
      <xdr:row>12</xdr:row>
      <xdr:rowOff>40995</xdr:rowOff>
    </xdr:to>
    <xdr:sp macro="" textlink="">
      <xdr:nvSpPr>
        <xdr:cNvPr id="103" name="Rectangle: Rounded Corners 102">
          <a:extLst>
            <a:ext uri="{FF2B5EF4-FFF2-40B4-BE49-F238E27FC236}">
              <a16:creationId xmlns:a16="http://schemas.microsoft.com/office/drawing/2014/main" id="{CEC067A6-3901-4879-858B-34EC94089FA9}"/>
            </a:ext>
          </a:extLst>
        </xdr:cNvPr>
        <xdr:cNvSpPr/>
      </xdr:nvSpPr>
      <xdr:spPr>
        <a:xfrm>
          <a:off x="531173" y="279276"/>
          <a:ext cx="3023986" cy="2019497"/>
        </a:xfrm>
        <a:prstGeom prst="roundRect">
          <a:avLst/>
        </a:prstGeom>
        <a:solidFill>
          <a:srgbClr val="4F20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chemeClr val="bg1"/>
            </a:solidFill>
          </a:endParaRPr>
        </a:p>
      </xdr:txBody>
    </xdr:sp>
    <xdr:clientData/>
  </xdr:twoCellAnchor>
  <xdr:twoCellAnchor>
    <xdr:from>
      <xdr:col>0</xdr:col>
      <xdr:colOff>528744</xdr:colOff>
      <xdr:row>1</xdr:row>
      <xdr:rowOff>186007</xdr:rowOff>
    </xdr:from>
    <xdr:to>
      <xdr:col>5</xdr:col>
      <xdr:colOff>482841</xdr:colOff>
      <xdr:row>3</xdr:row>
      <xdr:rowOff>117178</xdr:rowOff>
    </xdr:to>
    <xdr:sp macro="" textlink="">
      <xdr:nvSpPr>
        <xdr:cNvPr id="104" name="TextBox 103">
          <a:extLst>
            <a:ext uri="{FF2B5EF4-FFF2-40B4-BE49-F238E27FC236}">
              <a16:creationId xmlns:a16="http://schemas.microsoft.com/office/drawing/2014/main" id="{BEFB91CF-257E-4FAA-A749-983EBC6507C8}"/>
            </a:ext>
          </a:extLst>
        </xdr:cNvPr>
        <xdr:cNvSpPr txBox="1"/>
      </xdr:nvSpPr>
      <xdr:spPr>
        <a:xfrm>
          <a:off x="528744" y="374155"/>
          <a:ext cx="3011504" cy="307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800" b="1" i="0">
              <a:solidFill>
                <a:schemeClr val="bg1"/>
              </a:solidFill>
            </a:rPr>
            <a:t>Top 5 Spenders</a:t>
          </a:r>
        </a:p>
      </xdr:txBody>
    </xdr:sp>
    <xdr:clientData/>
  </xdr:twoCellAnchor>
  <xdr:twoCellAnchor>
    <xdr:from>
      <xdr:col>22</xdr:col>
      <xdr:colOff>349604</xdr:colOff>
      <xdr:row>26</xdr:row>
      <xdr:rowOff>46736</xdr:rowOff>
    </xdr:from>
    <xdr:to>
      <xdr:col>26</xdr:col>
      <xdr:colOff>368710</xdr:colOff>
      <xdr:row>34</xdr:row>
      <xdr:rowOff>98324</xdr:rowOff>
    </xdr:to>
    <xdr:graphicFrame macro="">
      <xdr:nvGraphicFramePr>
        <xdr:cNvPr id="105" name="Chart 104">
          <a:extLst>
            <a:ext uri="{FF2B5EF4-FFF2-40B4-BE49-F238E27FC236}">
              <a16:creationId xmlns:a16="http://schemas.microsoft.com/office/drawing/2014/main" id="{D7222A78-E279-4121-BB59-C242B7D45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119499</xdr:colOff>
      <xdr:row>3</xdr:row>
      <xdr:rowOff>180690</xdr:rowOff>
    </xdr:from>
    <xdr:to>
      <xdr:col>3</xdr:col>
      <xdr:colOff>417949</xdr:colOff>
      <xdr:row>5</xdr:row>
      <xdr:rowOff>69511</xdr:rowOff>
    </xdr:to>
    <xdr:sp macro="" textlink="">
      <xdr:nvSpPr>
        <xdr:cNvPr id="106" name="TextBox 105">
          <a:extLst>
            <a:ext uri="{FF2B5EF4-FFF2-40B4-BE49-F238E27FC236}">
              <a16:creationId xmlns:a16="http://schemas.microsoft.com/office/drawing/2014/main" id="{BC41252D-DCD1-4ADC-A196-C0693F39E1BB}"/>
            </a:ext>
          </a:extLst>
        </xdr:cNvPr>
        <xdr:cNvSpPr txBox="1"/>
      </xdr:nvSpPr>
      <xdr:spPr>
        <a:xfrm>
          <a:off x="732974" y="761876"/>
          <a:ext cx="1525399" cy="276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a:solidFill>
                <a:schemeClr val="bg1"/>
              </a:solidFill>
            </a:rPr>
            <a:t>Kelci</a:t>
          </a:r>
          <a:r>
            <a:rPr lang="en-ID" sz="1200" baseline="0">
              <a:solidFill>
                <a:schemeClr val="bg1"/>
              </a:solidFill>
            </a:rPr>
            <a:t> Walkden</a:t>
          </a:r>
          <a:endParaRPr lang="en-ID" sz="1200">
            <a:solidFill>
              <a:schemeClr val="bg1"/>
            </a:solidFill>
          </a:endParaRPr>
        </a:p>
      </xdr:txBody>
    </xdr:sp>
    <xdr:clientData/>
  </xdr:twoCellAnchor>
  <xdr:twoCellAnchor>
    <xdr:from>
      <xdr:col>3</xdr:col>
      <xdr:colOff>548899</xdr:colOff>
      <xdr:row>3</xdr:row>
      <xdr:rowOff>174340</xdr:rowOff>
    </xdr:from>
    <xdr:to>
      <xdr:col>5</xdr:col>
      <xdr:colOff>278250</xdr:colOff>
      <xdr:row>5</xdr:row>
      <xdr:rowOff>63161</xdr:rowOff>
    </xdr:to>
    <xdr:sp macro="" textlink="pivot_tabel!AD2">
      <xdr:nvSpPr>
        <xdr:cNvPr id="107" name="TextBox 106">
          <a:extLst>
            <a:ext uri="{FF2B5EF4-FFF2-40B4-BE49-F238E27FC236}">
              <a16:creationId xmlns:a16="http://schemas.microsoft.com/office/drawing/2014/main" id="{16D0FC58-4F95-4A84-A088-26A5718876C5}"/>
            </a:ext>
          </a:extLst>
        </xdr:cNvPr>
        <xdr:cNvSpPr txBox="1"/>
      </xdr:nvSpPr>
      <xdr:spPr>
        <a:xfrm>
          <a:off x="2389323" y="755526"/>
          <a:ext cx="956300" cy="276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3823B75-8322-4FD6-A56A-4DC174704156}" type="TxLink">
            <a:rPr lang="en-US" sz="1200" b="0" i="0" u="none" strike="noStrike">
              <a:solidFill>
                <a:schemeClr val="bg1"/>
              </a:solidFill>
              <a:latin typeface="Aptos Narrow"/>
            </a:rPr>
            <a:t>$5.073,943</a:t>
          </a:fld>
          <a:endParaRPr lang="en-ID" sz="1600">
            <a:solidFill>
              <a:schemeClr val="bg1"/>
            </a:solidFill>
          </a:endParaRPr>
        </a:p>
      </xdr:txBody>
    </xdr:sp>
    <xdr:clientData/>
  </xdr:twoCellAnchor>
  <xdr:twoCellAnchor>
    <xdr:from>
      <xdr:col>1</xdr:col>
      <xdr:colOff>119499</xdr:colOff>
      <xdr:row>5</xdr:row>
      <xdr:rowOff>42719</xdr:rowOff>
    </xdr:from>
    <xdr:to>
      <xdr:col>3</xdr:col>
      <xdr:colOff>417949</xdr:colOff>
      <xdr:row>6</xdr:row>
      <xdr:rowOff>123965</xdr:rowOff>
    </xdr:to>
    <xdr:sp macro="" textlink="">
      <xdr:nvSpPr>
        <xdr:cNvPr id="108" name="TextBox 107">
          <a:extLst>
            <a:ext uri="{FF2B5EF4-FFF2-40B4-BE49-F238E27FC236}">
              <a16:creationId xmlns:a16="http://schemas.microsoft.com/office/drawing/2014/main" id="{8DAA354B-69B0-4EB6-8CFD-6DAF74FD0AD3}"/>
            </a:ext>
          </a:extLst>
        </xdr:cNvPr>
        <xdr:cNvSpPr txBox="1"/>
      </xdr:nvSpPr>
      <xdr:spPr>
        <a:xfrm>
          <a:off x="732974" y="1011363"/>
          <a:ext cx="1525399" cy="274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a:solidFill>
                <a:schemeClr val="bg1"/>
              </a:solidFill>
            </a:rPr>
            <a:t>Curtice Advani</a:t>
          </a:r>
        </a:p>
      </xdr:txBody>
    </xdr:sp>
    <xdr:clientData/>
  </xdr:twoCellAnchor>
  <xdr:twoCellAnchor>
    <xdr:from>
      <xdr:col>3</xdr:col>
      <xdr:colOff>548899</xdr:colOff>
      <xdr:row>5</xdr:row>
      <xdr:rowOff>36369</xdr:rowOff>
    </xdr:from>
    <xdr:to>
      <xdr:col>5</xdr:col>
      <xdr:colOff>310000</xdr:colOff>
      <xdr:row>6</xdr:row>
      <xdr:rowOff>117615</xdr:rowOff>
    </xdr:to>
    <xdr:sp macro="" textlink="pivot_tabel!AD3">
      <xdr:nvSpPr>
        <xdr:cNvPr id="109" name="TextBox 108">
          <a:extLst>
            <a:ext uri="{FF2B5EF4-FFF2-40B4-BE49-F238E27FC236}">
              <a16:creationId xmlns:a16="http://schemas.microsoft.com/office/drawing/2014/main" id="{ED1CC90A-78E7-45E4-80C7-95C5F166FE15}"/>
            </a:ext>
          </a:extLst>
        </xdr:cNvPr>
        <xdr:cNvSpPr txBox="1"/>
      </xdr:nvSpPr>
      <xdr:spPr>
        <a:xfrm>
          <a:off x="2389323" y="1005013"/>
          <a:ext cx="988050" cy="274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528E07-FC9F-4DE9-A34D-764F86CFFDBB}" type="TxLink">
            <a:rPr lang="en-US" sz="1200" b="0" i="0" u="none" strike="noStrike">
              <a:solidFill>
                <a:schemeClr val="bg1"/>
              </a:solidFill>
              <a:latin typeface="Aptos Narrow"/>
            </a:rPr>
            <a:t>$4.887,785</a:t>
          </a:fld>
          <a:endParaRPr lang="en-ID" sz="1800">
            <a:solidFill>
              <a:schemeClr val="bg1"/>
            </a:solidFill>
          </a:endParaRPr>
        </a:p>
      </xdr:txBody>
    </xdr:sp>
    <xdr:clientData/>
  </xdr:twoCellAnchor>
  <xdr:twoCellAnchor>
    <xdr:from>
      <xdr:col>1</xdr:col>
      <xdr:colOff>119499</xdr:colOff>
      <xdr:row>6</xdr:row>
      <xdr:rowOff>140850</xdr:rowOff>
    </xdr:from>
    <xdr:to>
      <xdr:col>3</xdr:col>
      <xdr:colOff>417949</xdr:colOff>
      <xdr:row>8</xdr:row>
      <xdr:rowOff>29670</xdr:rowOff>
    </xdr:to>
    <xdr:sp macro="" textlink="">
      <xdr:nvSpPr>
        <xdr:cNvPr id="110" name="TextBox 109">
          <a:extLst>
            <a:ext uri="{FF2B5EF4-FFF2-40B4-BE49-F238E27FC236}">
              <a16:creationId xmlns:a16="http://schemas.microsoft.com/office/drawing/2014/main" id="{4680CC76-6F94-4566-9826-87F2C0932220}"/>
            </a:ext>
          </a:extLst>
        </xdr:cNvPr>
        <xdr:cNvSpPr txBox="1"/>
      </xdr:nvSpPr>
      <xdr:spPr>
        <a:xfrm>
          <a:off x="732974" y="1303223"/>
          <a:ext cx="1525399" cy="27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a:solidFill>
                <a:schemeClr val="bg1"/>
              </a:solidFill>
            </a:rPr>
            <a:t>Dennison Crosswaite</a:t>
          </a:r>
        </a:p>
      </xdr:txBody>
    </xdr:sp>
    <xdr:clientData/>
  </xdr:twoCellAnchor>
  <xdr:twoCellAnchor>
    <xdr:from>
      <xdr:col>3</xdr:col>
      <xdr:colOff>532755</xdr:colOff>
      <xdr:row>6</xdr:row>
      <xdr:rowOff>134500</xdr:rowOff>
    </xdr:from>
    <xdr:to>
      <xdr:col>5</xdr:col>
      <xdr:colOff>278250</xdr:colOff>
      <xdr:row>8</xdr:row>
      <xdr:rowOff>23320</xdr:rowOff>
    </xdr:to>
    <xdr:sp macro="" textlink="pivot_tabel!AD4">
      <xdr:nvSpPr>
        <xdr:cNvPr id="111" name="TextBox 110">
          <a:extLst>
            <a:ext uri="{FF2B5EF4-FFF2-40B4-BE49-F238E27FC236}">
              <a16:creationId xmlns:a16="http://schemas.microsoft.com/office/drawing/2014/main" id="{2CA62366-8C61-4452-A290-E7928AC3ED91}"/>
            </a:ext>
          </a:extLst>
        </xdr:cNvPr>
        <xdr:cNvSpPr txBox="1"/>
      </xdr:nvSpPr>
      <xdr:spPr>
        <a:xfrm>
          <a:off x="2373179" y="1296873"/>
          <a:ext cx="972444" cy="27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736993-94F0-499E-8648-CCC3FDB6083B}" type="TxLink">
            <a:rPr lang="en-US" sz="1200" b="0" i="0" u="none" strike="noStrike">
              <a:solidFill>
                <a:schemeClr val="bg1"/>
              </a:solidFill>
              <a:latin typeface="Aptos Narrow"/>
            </a:rPr>
            <a:t>$4.830,126</a:t>
          </a:fld>
          <a:endParaRPr lang="en-ID" sz="1800">
            <a:solidFill>
              <a:schemeClr val="bg1"/>
            </a:solidFill>
          </a:endParaRPr>
        </a:p>
      </xdr:txBody>
    </xdr:sp>
    <xdr:clientData/>
  </xdr:twoCellAnchor>
  <xdr:twoCellAnchor>
    <xdr:from>
      <xdr:col>1</xdr:col>
      <xdr:colOff>119499</xdr:colOff>
      <xdr:row>8</xdr:row>
      <xdr:rowOff>55070</xdr:rowOff>
    </xdr:from>
    <xdr:to>
      <xdr:col>3</xdr:col>
      <xdr:colOff>417949</xdr:colOff>
      <xdr:row>9</xdr:row>
      <xdr:rowOff>140850</xdr:rowOff>
    </xdr:to>
    <xdr:sp macro="" textlink="">
      <xdr:nvSpPr>
        <xdr:cNvPr id="112" name="TextBox 111">
          <a:extLst>
            <a:ext uri="{FF2B5EF4-FFF2-40B4-BE49-F238E27FC236}">
              <a16:creationId xmlns:a16="http://schemas.microsoft.com/office/drawing/2014/main" id="{0328502B-BD09-4E96-92A8-1C1F97E5D157}"/>
            </a:ext>
          </a:extLst>
        </xdr:cNvPr>
        <xdr:cNvSpPr txBox="1"/>
      </xdr:nvSpPr>
      <xdr:spPr>
        <a:xfrm>
          <a:off x="732974" y="1604901"/>
          <a:ext cx="1525399" cy="279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a:solidFill>
                <a:schemeClr val="bg1"/>
              </a:solidFill>
            </a:rPr>
            <a:t>Gigi Bohling</a:t>
          </a:r>
        </a:p>
      </xdr:txBody>
    </xdr:sp>
    <xdr:clientData/>
  </xdr:twoCellAnchor>
  <xdr:twoCellAnchor>
    <xdr:from>
      <xdr:col>3</xdr:col>
      <xdr:colOff>532755</xdr:colOff>
      <xdr:row>8</xdr:row>
      <xdr:rowOff>48720</xdr:rowOff>
    </xdr:from>
    <xdr:to>
      <xdr:col>5</xdr:col>
      <xdr:colOff>278250</xdr:colOff>
      <xdr:row>9</xdr:row>
      <xdr:rowOff>134500</xdr:rowOff>
    </xdr:to>
    <xdr:sp macro="" textlink="pivot_tabel!AD5">
      <xdr:nvSpPr>
        <xdr:cNvPr id="113" name="TextBox 112">
          <a:extLst>
            <a:ext uri="{FF2B5EF4-FFF2-40B4-BE49-F238E27FC236}">
              <a16:creationId xmlns:a16="http://schemas.microsoft.com/office/drawing/2014/main" id="{A9862EB3-2166-4258-884C-8CD7A54BFD6F}"/>
            </a:ext>
          </a:extLst>
        </xdr:cNvPr>
        <xdr:cNvSpPr txBox="1"/>
      </xdr:nvSpPr>
      <xdr:spPr>
        <a:xfrm>
          <a:off x="2373179" y="1598551"/>
          <a:ext cx="972444" cy="279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6A400F-3A51-443E-9D6C-7CF78FF78667}" type="TxLink">
            <a:rPr lang="en-US" sz="1200" b="0" i="0" u="none" strike="noStrike">
              <a:solidFill>
                <a:schemeClr val="bg1"/>
              </a:solidFill>
              <a:latin typeface="Aptos Narrow"/>
            </a:rPr>
            <a:t>$4.792,102</a:t>
          </a:fld>
          <a:endParaRPr lang="en-ID" sz="1800">
            <a:solidFill>
              <a:schemeClr val="bg1"/>
            </a:solidFill>
          </a:endParaRPr>
        </a:p>
      </xdr:txBody>
    </xdr:sp>
    <xdr:clientData/>
  </xdr:twoCellAnchor>
  <xdr:twoCellAnchor>
    <xdr:from>
      <xdr:col>1</xdr:col>
      <xdr:colOff>125849</xdr:colOff>
      <xdr:row>9</xdr:row>
      <xdr:rowOff>166076</xdr:rowOff>
    </xdr:from>
    <xdr:to>
      <xdr:col>3</xdr:col>
      <xdr:colOff>424299</xdr:colOff>
      <xdr:row>11</xdr:row>
      <xdr:rowOff>53592</xdr:rowOff>
    </xdr:to>
    <xdr:sp macro="" textlink="">
      <xdr:nvSpPr>
        <xdr:cNvPr id="114" name="TextBox 113">
          <a:extLst>
            <a:ext uri="{FF2B5EF4-FFF2-40B4-BE49-F238E27FC236}">
              <a16:creationId xmlns:a16="http://schemas.microsoft.com/office/drawing/2014/main" id="{77C7C0A7-9397-4AB7-94FE-FCD08571BD27}"/>
            </a:ext>
          </a:extLst>
        </xdr:cNvPr>
        <xdr:cNvSpPr txBox="1"/>
      </xdr:nvSpPr>
      <xdr:spPr>
        <a:xfrm>
          <a:off x="739324" y="1909635"/>
          <a:ext cx="1525399" cy="274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a:solidFill>
                <a:schemeClr val="bg1"/>
              </a:solidFill>
            </a:rPr>
            <a:t>Carlen McCaffrey</a:t>
          </a:r>
        </a:p>
      </xdr:txBody>
    </xdr:sp>
    <xdr:clientData/>
  </xdr:twoCellAnchor>
  <xdr:twoCellAnchor>
    <xdr:from>
      <xdr:col>3</xdr:col>
      <xdr:colOff>532753</xdr:colOff>
      <xdr:row>9</xdr:row>
      <xdr:rowOff>159726</xdr:rowOff>
    </xdr:from>
    <xdr:to>
      <xdr:col>5</xdr:col>
      <xdr:colOff>284599</xdr:colOff>
      <xdr:row>11</xdr:row>
      <xdr:rowOff>48547</xdr:rowOff>
    </xdr:to>
    <xdr:sp macro="" textlink="pivot_tabel!AD6">
      <xdr:nvSpPr>
        <xdr:cNvPr id="115" name="TextBox 114">
          <a:extLst>
            <a:ext uri="{FF2B5EF4-FFF2-40B4-BE49-F238E27FC236}">
              <a16:creationId xmlns:a16="http://schemas.microsoft.com/office/drawing/2014/main" id="{24935EAF-C5B1-4514-8014-9FEF80427382}"/>
            </a:ext>
          </a:extLst>
        </xdr:cNvPr>
        <xdr:cNvSpPr txBox="1"/>
      </xdr:nvSpPr>
      <xdr:spPr>
        <a:xfrm>
          <a:off x="2373177" y="1903285"/>
          <a:ext cx="978795" cy="276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874C76-D3EC-411B-B762-719F131D58F3}" type="TxLink">
            <a:rPr lang="en-US" sz="1200" b="0" i="0" u="none" strike="noStrike">
              <a:solidFill>
                <a:schemeClr val="bg1"/>
              </a:solidFill>
              <a:latin typeface="Aptos Narrow"/>
            </a:rPr>
            <a:t>$4.699,415</a:t>
          </a:fld>
          <a:endParaRPr lang="en-ID" sz="1800">
            <a:solidFill>
              <a:schemeClr val="bg1"/>
            </a:solidFill>
          </a:endParaRPr>
        </a:p>
      </xdr:txBody>
    </xdr:sp>
    <xdr:clientData/>
  </xdr:twoCellAnchor>
  <xdr:twoCellAnchor editAs="oneCell">
    <xdr:from>
      <xdr:col>21</xdr:col>
      <xdr:colOff>512289</xdr:colOff>
      <xdr:row>7</xdr:row>
      <xdr:rowOff>164778</xdr:rowOff>
    </xdr:from>
    <xdr:to>
      <xdr:col>26</xdr:col>
      <xdr:colOff>579783</xdr:colOff>
      <xdr:row>12</xdr:row>
      <xdr:rowOff>144946</xdr:rowOff>
    </xdr:to>
    <mc:AlternateContent xmlns:mc="http://schemas.openxmlformats.org/markup-compatibility/2006">
      <mc:Choice xmlns:a14="http://schemas.microsoft.com/office/drawing/2010/main" Requires="a14">
        <xdr:graphicFrame macro="">
          <xdr:nvGraphicFramePr>
            <xdr:cNvPr id="116" name="Country">
              <a:extLst>
                <a:ext uri="{FF2B5EF4-FFF2-40B4-BE49-F238E27FC236}">
                  <a16:creationId xmlns:a16="http://schemas.microsoft.com/office/drawing/2014/main" id="{5E0D765B-689F-5296-CAEB-F4D60C81468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3357931" y="1510512"/>
              <a:ext cx="3125980" cy="94140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515177</xdr:colOff>
      <xdr:row>0</xdr:row>
      <xdr:rowOff>72471</xdr:rowOff>
    </xdr:from>
    <xdr:to>
      <xdr:col>26</xdr:col>
      <xdr:colOff>569428</xdr:colOff>
      <xdr:row>7</xdr:row>
      <xdr:rowOff>139560</xdr:rowOff>
    </xdr:to>
    <mc:AlternateContent xmlns:mc="http://schemas.openxmlformats.org/markup-compatibility/2006">
      <mc:Choice xmlns:tsle="http://schemas.microsoft.com/office/drawing/2012/timeslicer" Requires="tsle">
        <xdr:graphicFrame macro="">
          <xdr:nvGraphicFramePr>
            <xdr:cNvPr id="117" name="Date">
              <a:extLst>
                <a:ext uri="{FF2B5EF4-FFF2-40B4-BE49-F238E27FC236}">
                  <a16:creationId xmlns:a16="http://schemas.microsoft.com/office/drawing/2014/main" id="{770B23C5-35DD-70ED-FD59-C1A8741622C3}"/>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3360819" y="72471"/>
              <a:ext cx="3112737" cy="1412823"/>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 refreshedDate="45968.78257314815" createdVersion="8" refreshedVersion="8" minRefreshableVersion="3" recordCount="1094" xr:uid="{88169E81-75E5-4E45-B538-00FCEC5985EB}">
  <cacheSource type="worksheet">
    <worksheetSource ref="A1:F1095" sheet="clean_data"/>
  </cacheSource>
  <cacheFields count="8">
    <cacheField name="Sales Person" numFmtId="49">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49">
      <sharedItems count="6">
        <s v="UK"/>
        <s v="India"/>
        <s v="Australia"/>
        <s v="New Zealand"/>
        <s v="USA"/>
        <s v="Canada"/>
      </sharedItems>
    </cacheField>
    <cacheField name="Product" numFmtId="49">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4">
      <sharedItems containsSemiMixedTypes="0" containsNonDate="0" containsDate="1" containsString="0" minDate="2022-01-03T00:00:00" maxDate="2022-09-01T00:00:00" count="168">
        <d v="2022-01-04T00:00:00"/>
        <d v="2022-08-01T00:00:00"/>
        <d v="2022-07-07T00:00:00"/>
        <d v="2022-04-27T00:00:00"/>
        <d v="2022-02-24T00:00:00"/>
        <d v="2022-06-06T00:00:00"/>
        <d v="2022-01-25T00:00:00"/>
        <d v="2022-03-24T00:00:00"/>
        <d v="2022-04-20T00:00:00"/>
        <d v="2022-07-04T00:00:00"/>
        <d v="2022-01-13T00:00:00"/>
        <d v="2022-03-10T00:00:00"/>
        <d v="2022-07-28T00:00:00"/>
        <d v="2022-08-03T00:00:00"/>
        <d v="2022-01-26T00:00:00"/>
        <d v="2022-02-14T00:00:00"/>
        <d v="2022-04-05T00:00:00"/>
        <d v="2022-02-16T00:00:00"/>
        <d v="2022-06-08T00:00:00"/>
        <d v="2022-06-27T00:00:00"/>
        <d v="2022-02-17T00:00:00"/>
        <d v="2022-05-30T00:00:00"/>
        <d v="2022-03-14T00:00:00"/>
        <d v="2022-02-28T00:00:00"/>
        <d v="2022-02-09T00:00:00"/>
        <d v="2022-07-05T00:00:00"/>
        <d v="2022-06-15T00:00:00"/>
        <d v="2022-05-24T00:00:00"/>
        <d v="2022-06-29T00:00:00"/>
        <d v="2022-05-11T00:00:00"/>
        <d v="2022-06-30T00:00:00"/>
        <d v="2022-07-22T00:00:00"/>
        <d v="2022-08-24T00:00:00"/>
        <d v="2022-05-19T00:00:00"/>
        <d v="2022-06-02T00:00:00"/>
        <d v="2022-04-15T00:00:00"/>
        <d v="2022-07-11T00:00:00"/>
        <d v="2022-02-23T00:00:00"/>
        <d v="2022-08-22T00:00:00"/>
        <d v="2022-06-10T00:00:00"/>
        <d v="2022-07-19T00:00:00"/>
        <d v="2022-04-19T00:00:00"/>
        <d v="2022-07-15T00:00:00"/>
        <d v="2022-05-18T00:00:00"/>
        <d v="2022-06-28T00:00:00"/>
        <d v="2022-05-16T00:00:00"/>
        <d v="2022-05-26T00:00:00"/>
        <d v="2022-07-06T00:00:00"/>
        <d v="2022-05-27T00:00:00"/>
        <d v="2022-04-14T00:00:00"/>
        <d v="2022-08-10T00:00:00"/>
        <d v="2022-07-08T00:00:00"/>
        <d v="2022-03-02T00:00:00"/>
        <d v="2022-01-10T00:00:00"/>
        <d v="2022-03-11T00:00:00"/>
        <d v="2022-06-20T00:00:00"/>
        <d v="2022-08-26T00:00:00"/>
        <d v="2022-07-13T00:00:00"/>
        <d v="2022-02-11T00:00:00"/>
        <d v="2022-01-27T00:00:00"/>
        <d v="2022-01-31T00:00:00"/>
        <d v="2022-08-18T00:00:00"/>
        <d v="2022-08-23T00:00:00"/>
        <d v="2022-05-25T00:00:00"/>
        <d v="2022-02-07T00:00:00"/>
        <d v="2022-05-12T00:00:00"/>
        <d v="2022-03-07T00:00:00"/>
        <d v="2022-01-03T00:00:00"/>
        <d v="2022-07-26T00:00:00"/>
        <d v="2022-04-01T00:00:00"/>
        <d v="2022-04-08T00:00:00"/>
        <d v="2022-03-28T00:00:00"/>
        <d v="2022-03-04T00:00:00"/>
        <d v="2022-08-02T00:00:00"/>
        <d v="2022-08-25T00:00:00"/>
        <d v="2022-02-25T00:00:00"/>
        <d v="2022-06-07T00:00:00"/>
        <d v="2022-04-12T00:00:00"/>
        <d v="2022-01-19T00:00:00"/>
        <d v="2022-01-05T00:00:00"/>
        <d v="2022-01-24T00:00:00"/>
        <d v="2022-04-06T00:00:00"/>
        <d v="2022-01-28T00:00:00"/>
        <d v="2022-03-16T00:00:00"/>
        <d v="2022-02-21T00:00:00"/>
        <d v="2022-03-23T00:00:00"/>
        <d v="2022-06-16T00:00:00"/>
        <d v="2022-03-09T00:00:00"/>
        <d v="2022-08-15T00:00:00"/>
        <d v="2022-01-12T00:00:00"/>
        <d v="2022-07-25T00:00:00"/>
        <d v="2022-04-25T00:00:00"/>
        <d v="2022-04-04T00:00:00"/>
        <d v="2022-01-18T00:00:00"/>
        <d v="2022-04-29T00:00:00"/>
        <d v="2022-03-31T00:00:00"/>
        <d v="2022-03-29T00:00:00"/>
        <d v="2022-07-12T00:00:00"/>
        <d v="2022-05-20T00:00:00"/>
        <d v="2022-07-29T00:00:00"/>
        <d v="2022-04-13T00:00:00"/>
        <d v="2022-01-07T00:00:00"/>
        <d v="2022-01-14T00:00:00"/>
        <d v="2022-03-17T00:00:00"/>
        <d v="2022-01-21T00:00:00"/>
        <d v="2022-02-22T00:00:00"/>
        <d v="2022-05-31T00:00:00"/>
        <d v="2022-06-14T00:00:00"/>
        <d v="2022-06-13T00:00:00"/>
        <d v="2022-07-27T00:00:00"/>
        <d v="2022-05-13T00:00:00"/>
        <d v="2022-03-15T00:00:00"/>
        <d v="2022-03-25T00:00:00"/>
        <d v="2022-03-18T00:00:00"/>
        <d v="2022-07-01T00:00:00"/>
        <d v="2022-08-08T00:00:00"/>
        <d v="2022-05-04T00:00:00"/>
        <d v="2022-08-04T00:00:00"/>
        <d v="2022-06-01T00:00:00"/>
        <d v="2022-04-22T00:00:00"/>
        <d v="2022-08-17T00:00:00"/>
        <d v="2022-03-08T00:00:00"/>
        <d v="2022-05-09T00:00:00"/>
        <d v="2022-05-23T00:00:00"/>
        <d v="2022-01-11T00:00:00"/>
        <d v="2022-08-19T00:00:00"/>
        <d v="2022-04-21T00:00:00"/>
        <d v="2022-03-22T00:00:00"/>
        <d v="2022-08-30T00:00:00"/>
        <d v="2022-07-21T00:00:00"/>
        <d v="2022-06-23T00:00:00"/>
        <d v="2022-02-01T00:00:00"/>
        <d v="2022-06-24T00:00:00"/>
        <d v="2022-06-09T00:00:00"/>
        <d v="2022-05-17T00:00:00"/>
        <d v="2022-07-18T00:00:00"/>
        <d v="2022-06-21T00:00:00"/>
        <d v="2022-06-22T00:00:00"/>
        <d v="2022-05-02T00:00:00"/>
        <d v="2022-03-21T00:00:00"/>
        <d v="2022-05-05T00:00:00"/>
        <d v="2022-05-06T00:00:00"/>
        <d v="2022-02-15T00:00:00"/>
        <d v="2022-02-08T00:00:00"/>
        <d v="2022-05-03T00:00:00"/>
        <d v="2022-08-09T00:00:00"/>
        <d v="2022-05-10T00:00:00"/>
        <d v="2022-08-05T00:00:00"/>
        <d v="2022-08-31T00:00:00"/>
        <d v="2022-04-11T00:00:00"/>
        <d v="2022-03-03T00:00:00"/>
        <d v="2022-04-26T00:00:00"/>
        <d v="2022-02-03T00:00:00"/>
        <d v="2022-08-12T00:00:00"/>
        <d v="2022-01-17T00:00:00"/>
        <d v="2022-08-11T00:00:00"/>
        <d v="2022-06-17T00:00:00"/>
        <d v="2022-02-10T00:00:00"/>
        <d v="2022-04-18T00:00:00"/>
        <d v="2022-03-30T00:00:00"/>
        <d v="2022-08-16T00:00:00"/>
        <d v="2022-06-03T00:00:00"/>
        <d v="2022-03-01T00:00:00"/>
        <d v="2022-02-18T00:00:00"/>
        <d v="2022-07-20T00:00:00"/>
        <d v="2022-04-28T00:00:00"/>
        <d v="2022-07-14T00:00:00"/>
        <d v="2022-01-20T00:00:00"/>
      </sharedItems>
      <fieldGroup par="7"/>
    </cacheField>
    <cacheField name="Amount" numFmtId="164">
      <sharedItems containsSemiMixedTypes="0" containsString="0" containsNumber="1" minValue="1.0149999999999999" maxValue="994" count="827">
        <n v="5.32"/>
        <n v="7.8959999999999999"/>
        <n v="4.5010000000000003"/>
        <n v="12.726000000000001"/>
        <n v="13.685"/>
        <n v="5.3760000000000003"/>
        <n v="3.08"/>
        <n v="3.99"/>
        <n v="2.835"/>
        <n v="4.7039999999999997"/>
        <n v="3.7029999999999998"/>
        <n v="1.4419999999999999"/>
        <n v="168"/>
        <n v="8.3789999999999996"/>
        <n v="6.79"/>
        <n v="4.0670000000000002"/>
        <n v="3.0169999999999999"/>
        <n v="8.7989999999999995"/>
        <n v="1.085"/>
        <n v="6.8879999999999999"/>
        <n v="1.2669999999999999"/>
        <n v="4.7530000000000001"/>
        <n v="3.0030000000000001"/>
        <n v="7.6719999999999997"/>
        <n v="1.6519999999999999"/>
        <n v="4.0250000000000004"/>
        <n v="9.4920000000000009"/>
        <n v="5.0609999999999999"/>
        <n v="1.722"/>
        <n v="12.446"/>
        <n v="4.2839999999999998"/>
        <n v="6.8390000000000004"/>
        <n v="2.1629999999999998"/>
        <n v="9.5830000000000002"/>
        <n v="2.653"/>
        <n v="147"/>
        <n v="3.6539999999999999"/>
        <n v="2.4430000000000001"/>
        <n v="938"/>
        <n v="14.749000000000001"/>
        <n v="4.7809999999999997"/>
        <n v="6.3070000000000004"/>
        <n v="7.6020000000000003"/>
        <n v="9.7370000000000001"/>
        <n v="6.9790000000000001"/>
        <n v="4.3819999999999997"/>
        <n v="5.2430000000000003"/>
        <n v="4.8650000000000002"/>
        <n v="8.5749999999999993"/>
        <n v="91"/>
        <n v="14.798"/>
        <n v="2.2050000000000001"/>
        <n v="441"/>
        <n v="3.556"/>
        <n v="16.792999999999999"/>
        <n v="15.420999999999999"/>
        <n v="4.4379999999999997"/>
        <n v="1.603"/>
        <n v="273"/>
        <n v="3.073"/>
        <n v="6.09"/>
        <n v="10.255000000000001"/>
        <n v="2.0299999999999998"/>
        <n v="19.452999999999999"/>
        <n v="9.2750000000000004"/>
        <n v="6.181"/>
        <n v="9.0370000000000008"/>
        <n v="12.313000000000001"/>
        <n v="5.6420000000000003"/>
        <n v="2.8"/>
        <n v="959"/>
        <n v="2.0019999999999998"/>
        <n v="609"/>
        <n v="1.274"/>
        <n v="7.5949999999999998"/>
        <n v="4.7249999999999996"/>
        <n v="9.6809999999999992"/>
        <n v="14.504"/>
        <n v="280"/>
        <n v="63"/>
        <n v="8.0009999999999994"/>
        <n v="4.032"/>
        <n v="5.859"/>
        <n v="11.095000000000001"/>
        <n v="7.1820000000000004"/>
        <n v="6.8810000000000002"/>
        <n v="7.1539999999999999"/>
        <n v="6.1879999999999997"/>
        <n v="4.2210000000000001"/>
        <n v="630"/>
        <n v="1.7430000000000001"/>
        <n v="2.919"/>
        <n v="49"/>
        <n v="1.827"/>
        <n v="13.006"/>
        <n v="1.0640000000000001"/>
        <n v="11.571"/>
        <n v="5.74"/>
        <n v="1.456"/>
        <n v="5.3339999999999996"/>
        <n v="4.1509999999999998"/>
        <n v="8.1059999999999999"/>
        <n v="126"/>
        <n v="4.6970000000000001"/>
        <n v="7.798"/>
        <n v="9.4079999999999995"/>
        <n v="1.9390000000000001"/>
        <n v="10.906000000000001"/>
        <n v="5.9290000000000003"/>
        <n v="5.5789999999999997"/>
        <n v="10.927"/>
        <n v="623"/>
        <n v="6.0129999999999999"/>
        <n v="1.5049999999999999"/>
        <n v="476"/>
        <n v="11.55"/>
        <n v="17.318000000000001"/>
        <n v="1.8480000000000001"/>
        <n v="7.2729999999999997"/>
        <n v="854"/>
        <n v="6.8319999999999999"/>
        <n v="4.6059999999999999"/>
        <n v="4.4660000000000002"/>
        <n v="16.114000000000001"/>
        <n v="1.5609999999999999"/>
        <n v="8.8970000000000002"/>
        <n v="2.464"/>
        <n v="4.83"/>
        <n v="2.7650000000000001"/>
        <n v="7.1260000000000003"/>
        <n v="4.2629999999999999"/>
        <n v="3.605"/>
        <n v="19.928999999999998"/>
        <n v="5.1029999999999998"/>
        <n v="2.5409999999999999"/>
        <n v="5.6630000000000003"/>
        <n v="392"/>
        <n v="10.976000000000001"/>
        <n v="9.282"/>
        <n v="8.2669999999999995"/>
        <n v="4.1159999999999997"/>
        <n v="2.093"/>
        <n v="1.0149999999999999"/>
        <n v="12.516"/>
        <n v="2.758"/>
        <n v="3.2970000000000002"/>
        <n v="6.048"/>
        <n v="10.101000000000001"/>
        <n v="2.282"/>
        <n v="4.3609999999999998"/>
        <n v="3.052"/>
        <n v="8.0289999999999999"/>
        <n v="5.46"/>
        <n v="8.9109999999999996"/>
        <n v="7.2030000000000003"/>
        <n v="13.083"/>
        <n v="2.7789999999999999"/>
        <n v="9.0579999999999998"/>
        <n v="3.5489999999999999"/>
        <n v="9.4359999999999999"/>
        <n v="10.282999999999999"/>
        <n v="5.4459999999999997"/>
        <n v="1.0429999999999999"/>
        <n v="12.586"/>
        <n v="1.6870000000000001"/>
        <n v="5.2990000000000004"/>
        <n v="3.2130000000000001"/>
        <n v="5.194"/>
        <n v="13.706"/>
        <n v="6.4889999999999999"/>
        <n v="9.3239999999999998"/>
        <n v="10.829000000000001"/>
        <n v="8.1129999999999995"/>
        <n v="3.2690000000000001"/>
        <n v="7.2869999999999999"/>
        <n v="2.5830000000000002"/>
        <n v="9.9819999999999993"/>
        <n v="4.7949999999999999"/>
        <n v="9.31"/>
        <n v="497"/>
        <n v="581"/>
        <n v="3.472"/>
        <n v="4.3330000000000002"/>
        <n v="3.3250000000000002"/>
        <n v="11.718"/>
        <n v="2.1"/>
        <n v="4.0179999999999998"/>
        <n v="6.468"/>
        <n v="7.2380000000000004"/>
        <n v="6.4539999999999997"/>
        <n v="3.1150000000000002"/>
        <n v="6.4749999999999996"/>
        <n v="1.1619999999999999"/>
        <n v="14.238"/>
        <n v="1.4279999999999999"/>
        <n v="8.0640000000000001"/>
        <n v="9.66"/>
        <n v="7.3570000000000002"/>
        <n v="6.0549999999999997"/>
        <n v="5.1239999999999997"/>
        <n v="3.4790000000000001"/>
        <n v="784"/>
        <n v="18.991"/>
        <n v="1.3720000000000001"/>
        <n v="735"/>
        <n v="6.5380000000000003"/>
        <n v="3.1989999999999998"/>
        <n v="4.5709999999999997"/>
        <n v="5.4809999999999999"/>
        <n v="3.1360000000000001"/>
        <n v="252"/>
        <n v="3.395"/>
        <n v="14.938000000000001"/>
        <n v="4.0529999999999999"/>
        <n v="5.5650000000000004"/>
        <n v="7.1609999999999996"/>
        <n v="8.8829999999999991"/>
        <n v="1.351"/>
        <n v="3.1709999999999998"/>
        <n v="7.91"/>
        <n v="3.1080000000000001"/>
        <n v="5.0750000000000002"/>
        <n v="378"/>
        <n v="7.35"/>
        <n v="3.3879999999999999"/>
        <n v="11.837"/>
        <n v="5.4249999999999998"/>
        <n v="3.7519999999999998"/>
        <n v="7.7279999999999998"/>
        <n v="2.2959999999999998"/>
        <n v="4.4029999999999996"/>
        <n v="3.1920000000000002"/>
        <n v="448"/>
        <n v="4.2699999999999996"/>
        <n v="70"/>
        <n v="6.7619999999999996"/>
        <n v="3.7450000000000001"/>
        <n v="2.6389999999999998"/>
        <n v="4.3890000000000002"/>
        <n v="2.6040000000000001"/>
        <n v="16.568999999999999"/>
        <n v="14.657999999999999"/>
        <n v="161"/>
        <n v="2.8069999999999999"/>
        <n v="13.034000000000001"/>
        <n v="8.484"/>
        <n v="2.2400000000000002"/>
        <n v="13.446999999999999"/>
        <n v="9.4220000000000006"/>
        <n v="8.6869999999999994"/>
        <n v="2.415"/>
        <n v="6.2720000000000002"/>
        <n v="3.1219999999999999"/>
        <n v="8.0429999999999993"/>
        <n v="11.662000000000001"/>
        <n v="8.9250000000000007"/>
        <n v="7.2939999999999996"/>
        <n v="1.526"/>
        <n v="2.6880000000000002"/>
        <n v="14.888999999999999"/>
        <n v="2.9119999999999999"/>
        <n v="2.6320000000000001"/>
        <n v="6.3280000000000003"/>
        <n v="2.5270000000000001"/>
        <n v="1.4139999999999999"/>
        <n v="7.7140000000000004"/>
        <n v="4.3470000000000004"/>
        <n v="7.49"/>
        <n v="2.0579999999999998"/>
        <n v="3.64"/>
        <n v="455"/>
        <n v="10.99"/>
        <n v="5.5579999999999998"/>
        <n v="1.8759999999999999"/>
        <n v="5.5229999999999997"/>
        <n v="11.2"/>
        <n v="5.593"/>
        <n v="7.8819999999999997"/>
        <n v="10.241"/>
        <n v="1.379"/>
        <n v="3.01"/>
        <n v="1.54"/>
        <n v="6.9160000000000004"/>
        <n v="1.232"/>
        <n v="602"/>
        <n v="10.185"/>
        <n v="2.17"/>
        <n v="8.673"/>
        <n v="4.76"/>
        <n v="3.3740000000000001"/>
        <n v="420"/>
        <n v="2.863"/>
        <n v="5.9359999999999999"/>
        <n v="889"/>
        <n v="16.015999999999998"/>
        <n v="10.478999999999999"/>
        <n v="1.575"/>
        <n v="8.1969999999999992"/>
        <n v="840"/>
        <n v="5.6909999999999998"/>
        <n v="4.1929999999999996"/>
        <n v="9.016"/>
        <n v="9.8699999999999992"/>
        <n v="2.5760000000000001"/>
        <n v="3.1779999999999999"/>
        <n v="4.6760000000000002"/>
        <n v="5.5019999999999998"/>
        <n v="7.4619999999999997"/>
        <n v="5.8029999999999999"/>
        <n v="13.888"/>
        <n v="6.867"/>
        <n v="2.3170000000000002"/>
        <n v="1.218"/>
        <n v="4.109"/>
        <n v="1.9530000000000001"/>
        <n v="6.7969999999999997"/>
        <n v="9.2260000000000009"/>
        <n v="5.7329999999999997"/>
        <n v="4.3120000000000003"/>
        <n v="1.6379999999999999"/>
        <n v="10.815"/>
        <n v="987"/>
        <n v="4.6689999999999996"/>
        <n v="2.9049999999999998"/>
        <n v="6.9859999999999998"/>
        <n v="1.288"/>
        <n v="2.3450000000000002"/>
        <n v="3.6190000000000002"/>
        <n v="16.981999999999999"/>
        <n v="8.0920000000000005"/>
        <n v="6.9930000000000003"/>
        <n v="637"/>
        <n v="6.0339999999999998"/>
        <n v="980"/>
        <n v="2.8210000000000002"/>
        <n v="3.5630000000000002"/>
        <n v="2.996"/>
        <n v="2.4359999999999999"/>
        <n v="5.5090000000000003"/>
        <n v="12.992000000000001"/>
        <n v="3.7240000000000002"/>
        <n v="7.133"/>
        <n v="8.6170000000000009"/>
        <n v="9.1980000000000004"/>
        <n v="11.823"/>
        <n v="5.7750000000000004"/>
        <n v="13.125"/>
        <n v="14.287000000000001"/>
        <n v="16.233000000000001"/>
        <n v="5.3129999999999997"/>
        <n v="3.577"/>
        <n v="3.528"/>
        <n v="679"/>
        <n v="2.4500000000000002"/>
        <n v="10.577"/>
        <n v="2.597"/>
        <n v="2.2189999999999999"/>
        <n v="11.319000000000001"/>
        <n v="5.9779999999999998"/>
        <n v="5.327"/>
        <n v="6.02"/>
        <n v="5.6139999999999999"/>
        <n v="1.736"/>
        <n v="6.3840000000000003"/>
        <n v="14.539"/>
        <n v="3.4929999999999999"/>
        <n v="994"/>
        <n v="1.554"/>
        <n v="966"/>
        <n v="4.9349999999999996"/>
        <n v="10.023999999999999"/>
        <n v="2.5059999999999998"/>
        <n v="6.524"/>
        <n v="8.1479999999999997"/>
        <n v="3.948"/>
        <n v="5.2709999999999999"/>
        <n v="12.327"/>
        <n v="6.1669999999999998"/>
        <n v="18.34"/>
        <n v="7.0140000000000002"/>
        <n v="7.1189999999999998"/>
        <n v="15.491"/>
        <n v="5.7469999999999999"/>
        <n v="4.55"/>
        <n v="2.1909999999999998"/>
        <n v="7.6230000000000002"/>
        <n v="9.0229999999999997"/>
        <n v="3.4020000000000001"/>
        <n v="10.507"/>
        <n v="7.7210000000000001"/>
        <n v="5.0330000000000004"/>
        <n v="1.96"/>
        <n v="238"/>
        <n v="7.7560000000000002"/>
        <n v="2.66"/>
        <n v="11.564"/>
        <n v="1.365"/>
        <n v="4.1859999999999999"/>
        <n v="7.4059999999999997"/>
        <n v="112"/>
        <n v="8.2040000000000006"/>
        <n v="2.6110000000000002"/>
        <n v="15.651999999999999"/>
        <n v="4.0739999999999998"/>
        <n v="12.25"/>
        <n v="2.3660000000000001"/>
        <n v="6.9649999999999999"/>
        <n v="5.2919999999999998"/>
        <n v="588"/>
        <n v="4.0460000000000003"/>
        <n v="7.0419999999999998"/>
        <n v="6.7130000000000001"/>
        <n v="6.44"/>
        <n v="10.885"/>
        <n v="2.387"/>
        <n v="6.6779999999999999"/>
        <n v="4.5149999999999997"/>
        <n v="5.8520000000000003"/>
        <n v="1.75"/>
        <n v="5.782"/>
        <n v="2.87"/>
        <n v="3.0939999999999999"/>
        <n v="12.760999999999999"/>
        <n v="3.6960000000000002"/>
        <n v="5.2220000000000004"/>
        <n v="8.9390000000000001"/>
        <n v="2.1560000000000001"/>
        <n v="2.38"/>
        <n v="3.339"/>
        <n v="14.98"/>
        <n v="1.512"/>
        <n v="6.657"/>
        <n v="3.8359999999999999"/>
        <n v="8.7710000000000008"/>
        <n v="651"/>
        <n v="6.7060000000000004"/>
        <n v="1.421"/>
        <n v="8.5259999999999998"/>
        <n v="1.4350000000000001"/>
        <n v="7.4340000000000002"/>
        <n v="15.316000000000001"/>
        <n v="2.7509999999999999"/>
        <n v="2.786"/>
        <n v="2.3029999999999999"/>
        <n v="12.271000000000001"/>
        <n v="11.298"/>
        <n v="15.855"/>
        <n v="12.404"/>
        <n v="10.808"/>
        <n v="4.8579999999999997"/>
        <n v="7.742"/>
        <n v="10.983000000000001"/>
        <n v="6.7690000000000001"/>
        <n v="777"/>
        <n v="3.843"/>
        <n v="6.93"/>
        <n v="8.3930000000000007"/>
        <n v="3.8220000000000001"/>
        <n v="6.3419999999999996"/>
        <n v="6.51"/>
        <n v="10.170999999999999"/>
        <n v="5.9080000000000004"/>
        <n v="10.164"/>
        <n v="9.7159999999999993"/>
        <n v="22.05"/>
        <n v="9.9890000000000008"/>
        <n v="4.7389999999999999"/>
        <n v="3.1850000000000001"/>
        <n v="8.2249999999999996"/>
        <n v="14.301"/>
        <n v="1.3160000000000001"/>
        <n v="3.4860000000000002"/>
        <n v="13.93"/>
        <n v="8.4700000000000006"/>
        <n v="77"/>
        <n v="3.3809999999999998"/>
        <n v="4.1020000000000003"/>
        <n v="2.9750000000000001"/>
        <n v="4.1369999999999996"/>
        <n v="9.5410000000000004"/>
        <n v="5.1520000000000001"/>
        <n v="11.116"/>
        <n v="13.076000000000001"/>
        <n v="10.212999999999999"/>
        <n v="2.4849999999999999"/>
        <n v="8.7149999999999999"/>
        <n v="7"/>
        <n v="8.9039999999999999"/>
        <n v="4.3959999999999999"/>
        <n v="12.068"/>
        <n v="9.7720000000000002"/>
        <n v="10.458"/>
        <n v="6.4260000000000002"/>
        <n v="7.5039999999999996"/>
        <n v="5.4390000000000001"/>
        <n v="15.547000000000001"/>
        <n v="11.956"/>
        <n v="2.7229999999999999"/>
        <n v="19.327000000000002"/>
        <n v="8.8480000000000008"/>
        <n v="14.336"/>
        <n v="16.401"/>
        <n v="5.173"/>
        <n v="2.5339999999999998"/>
        <n v="910"/>
        <n v="2.331"/>
        <n v="2.0859999999999999"/>
        <n v="5.0119999999999996"/>
        <n v="13.481999999999999"/>
        <n v="5.6210000000000004"/>
        <n v="10.486000000000001"/>
        <n v="17.626000000000001"/>
        <n v="4.4939999999999998"/>
        <n v="105"/>
        <n v="3.22"/>
        <n v="4.8019999999999996"/>
        <n v="5.6769999999999996"/>
        <n v="945"/>
        <n v="8.7569999999999997"/>
        <n v="4.8159999999999998"/>
        <n v="7.532"/>
        <n v="4.34"/>
        <n v="1.7989999999999999"/>
        <n v="1.127"/>
        <n v="10.038"/>
        <n v="2.9260000000000002"/>
        <n v="6.2789999999999999"/>
        <n v="308"/>
        <n v="3.5"/>
        <n v="658"/>
        <n v="12.565"/>
        <n v="3.9550000000000001"/>
        <n v="8.5120000000000005"/>
        <n v="504"/>
        <n v="4.2560000000000002"/>
        <n v="13.573"/>
        <n v="6.5659999999999998"/>
        <n v="13.503"/>
        <n v="8.68"/>
        <n v="385"/>
        <n v="2.9609999999999999"/>
        <n v="1.9810000000000001"/>
        <n v="7.9589999999999996"/>
        <n v="10.794"/>
        <n v="1.897"/>
        <n v="2.7440000000000002"/>
        <n v="5.4740000000000002"/>
        <n v="6.069"/>
        <n v="6.944"/>
        <n v="12.173"/>
        <n v="5.7050000000000001"/>
        <n v="2.492"/>
        <n v="3.024"/>
        <n v="3.4369999999999998"/>
        <n v="1.869"/>
        <n v="1.2250000000000001"/>
        <n v="1.155"/>
        <n v="6.8109999999999999"/>
        <n v="6.4329999999999998"/>
        <n v="8.1690000000000005"/>
        <n v="2.2749999999999999"/>
        <n v="3.8570000000000002"/>
        <n v="1.4630000000000001"/>
        <n v="7.9240000000000004"/>
        <n v="2.8980000000000001"/>
        <n v="9.5060000000000002"/>
        <n v="7.1749999999999998"/>
        <n v="1.7290000000000001"/>
        <n v="1.589"/>
        <n v="5.1870000000000003"/>
        <n v="6.2229999999999999"/>
        <n v="9.4570000000000007"/>
        <n v="2.1070000000000002"/>
        <n v="1.8620000000000001"/>
        <n v="6.9720000000000004"/>
        <n v="10.220000000000001"/>
        <n v="3.9689999999999999"/>
        <n v="1.5469999999999999"/>
        <n v="10.632999999999999"/>
        <n v="15.057"/>
        <n v="9.3379999999999992"/>
        <n v="14.525"/>
        <n v="5.81"/>
        <n v="1.5820000000000001"/>
        <n v="791"/>
        <n v="9.1"/>
        <n v="9.8840000000000003"/>
        <n v="3.78"/>
        <n v="4.5570000000000004"/>
        <n v="5.7960000000000003"/>
        <n v="84"/>
        <n v="4.7460000000000004"/>
        <n v="6.2370000000000001"/>
        <n v="7.4829999999999997"/>
        <n v="1.3089999999999999"/>
        <n v="2.9889999999999999"/>
        <n v="9.625"/>
        <n v="10.031000000000001"/>
        <n v="6.5869999999999997"/>
        <n v="3.3109999999999999"/>
        <n v="15.33"/>
        <n v="14.028"/>
        <n v="8.6240000000000006"/>
        <n v="1.1970000000000001"/>
        <n v="483"/>
        <n v="9.5340000000000007"/>
        <n v="1.694"/>
        <n v="2.9329999999999998"/>
        <n v="2.044"/>
        <n v="12.656000000000001"/>
        <n v="8.7219999999999995"/>
        <n v="15.75"/>
        <n v="19.481000000000002"/>
        <n v="8.0990000000000002"/>
        <n v="13.727"/>
        <n v="8.6590000000000007"/>
        <n v="8.4629999999999992"/>
        <n v="4.9139999999999997"/>
        <n v="3.0870000000000002"/>
        <n v="9.2050000000000001"/>
        <n v="1.3580000000000001"/>
        <n v="8.4979999999999993"/>
        <n v="700"/>
        <n v="644"/>
        <n v="826"/>
        <n v="203"/>
        <n v="13.356"/>
        <n v="5.8940000000000001"/>
        <n v="1.617"/>
        <n v="10.821999999999999"/>
        <n v="10.724"/>
        <n v="2.016"/>
        <n v="7.5880000000000001"/>
        <n v="1.9039999999999999"/>
        <n v="4.8440000000000003"/>
        <n v="4.5990000000000002"/>
        <n v="9.7439999999999998"/>
        <n v="1.4"/>
        <n v="364"/>
        <n v="7.2309999999999999"/>
        <n v="8.3089999999999993"/>
        <n v="3.1640000000000001"/>
        <n v="490"/>
        <n v="18.032"/>
        <n v="5.1310000000000002"/>
        <n v="1.141"/>
        <n v="7.98"/>
        <n v="5.2290000000000001"/>
        <n v="3.423"/>
        <n v="4.3259999999999996"/>
        <n v="3.9969999999999999"/>
        <n v="5.18"/>
        <n v="952"/>
        <n v="10.968999999999999"/>
        <n v="5.9640000000000004"/>
        <n v="1.302"/>
        <n v="4.1790000000000003"/>
        <n v="1.946"/>
        <n v="4.2910000000000004"/>
        <n v="7.1959999999999997"/>
        <n v="10.436999999999999"/>
        <n v="3.6469999999999998"/>
        <n v="8.9949999999999992"/>
        <n v="7.2519999999999998"/>
        <n v="16.38"/>
        <n v="4.5220000000000002"/>
        <n v="329"/>
        <n v="3.4580000000000002"/>
        <n v="4.641"/>
        <n v="4.6269999999999998"/>
        <n v="868"/>
        <n v="210"/>
        <n v="7.0069999999999997"/>
        <n v="5.8449999999999998"/>
        <n v="8.4280000000000008"/>
        <n v="4.9770000000000003"/>
        <n v="9.5269999999999992"/>
        <n v="10.766"/>
        <n v="4.8789999999999996"/>
        <n v="2.4079999999999999"/>
        <n v="8.9809999999999999"/>
        <n v="5.25"/>
        <n v="7.56"/>
        <n v="3.0379999999999998"/>
        <n v="1.099"/>
        <n v="7.4130000000000003"/>
        <n v="5.3970000000000002"/>
        <n v="10.324999999999999"/>
        <n v="2.149"/>
        <n v="12.362"/>
        <n v="12.635"/>
        <n v="7.3150000000000004"/>
        <n v="1.393"/>
        <n v="8.0220000000000002"/>
        <n v="371"/>
        <n v="16.702000000000002"/>
        <n v="13.257999999999999"/>
        <n v="10.192"/>
        <n v="7.14"/>
        <n v="9.8350000000000009"/>
        <n v="749"/>
        <n v="7.77"/>
        <n v="3.5070000000000001"/>
        <n v="5.6"/>
        <n v="721"/>
        <n v="6.6150000000000002"/>
        <n v="7.42"/>
        <n v="9.1140000000000008"/>
        <n v="5.4039999999999999"/>
        <n v="14.923999999999999"/>
        <n v="7.0910000000000002"/>
        <n v="6.4960000000000004"/>
        <n v="3.738"/>
        <n v="1.19"/>
        <n v="9.2680000000000007"/>
        <n v="1.0289999999999999"/>
        <n v="12.026"/>
        <n v="13.404999999999999"/>
        <n v="14.763"/>
        <n v="12.894"/>
        <n v="8.3019999999999996"/>
        <n v="8.1829999999999998"/>
        <n v="1.645"/>
        <n v="3.1429999999999998"/>
        <n v="5.8730000000000002"/>
        <n v="12.425000000000001"/>
        <n v="1.7150000000000001"/>
        <n v="8.19"/>
        <n v="4.9909999999999997"/>
        <n v="5.0960000000000001"/>
        <n v="7.0629999999999997"/>
        <n v="4.2"/>
        <n v="11.137"/>
        <n v="301"/>
        <n v="17.465"/>
        <n v="10.143000000000001"/>
        <n v="3.6259999999999999"/>
        <n v="3.3460000000000001"/>
        <n v="6.3209999999999997"/>
        <n v="9.3450000000000006"/>
        <n v="15.007999999999999"/>
        <n v="7.609"/>
        <n v="10.332000000000001"/>
        <n v="819"/>
        <n v="5.7539999999999996"/>
        <n v="28"/>
        <n v="4.9560000000000004"/>
        <n v="2.3519999999999999"/>
        <n v="3.9060000000000001"/>
        <n v="1.8129999999999999"/>
        <n v="11.788"/>
        <n v="5.7679999999999998"/>
        <n v="2.4009999999999998"/>
        <n v="10.122"/>
        <n v="2.2679999999999998"/>
        <n v="574"/>
        <n v="1.792"/>
        <n v="9.1069999999999993"/>
        <n v="12.186999999999999"/>
        <n v="5.67"/>
        <n v="2.681"/>
        <n v="1.5329999999999999"/>
        <n v="9.7650000000000006"/>
        <n v="3.3180000000000001"/>
        <n v="4.2140000000000004"/>
        <n v="4.6900000000000004"/>
        <n v="13.061999999999999"/>
        <n v="12.488"/>
        <n v="14.147"/>
        <n v="10.199"/>
        <n v="11.388999999999999"/>
        <n v="3.5840000000000001"/>
        <n v="12.481"/>
        <n v="8.6029999999999998"/>
        <n v="6.5590000000000002"/>
        <n v="18.696999999999999"/>
        <n v="10.15"/>
        <n v="4.5919999999999996"/>
        <n v="4.1580000000000004"/>
        <n v="5.6840000000000002"/>
        <n v="693"/>
        <n v="546"/>
        <n v="1.036"/>
        <n v="13.846"/>
        <n v="2.4990000000000001"/>
        <n v="10.689"/>
        <n v="2.226"/>
        <n v="10.262"/>
        <n v="3.8639999999999999"/>
        <n v="4.9000000000000004"/>
        <n v="8.1549999999999994"/>
        <n v="2.4780000000000002"/>
        <n v="2.4710000000000001"/>
        <n v="1.6659999999999999"/>
        <n v="8.4"/>
        <n v="6.1390000000000002"/>
        <n v="7.077"/>
        <n v="9.9540000000000006"/>
        <n v="1.26"/>
        <n v="469"/>
        <n v="973"/>
        <n v="2.52"/>
        <n v="10.5"/>
        <n v="7.952"/>
        <n v="4.8719999999999999"/>
        <n v="6.5940000000000003"/>
        <n v="1.47"/>
        <n v="2.6739999999999999"/>
        <n v="7.3639999999999999"/>
        <n v="6.8179999999999996"/>
        <n v="6.7759999999999998"/>
        <n v="15.099"/>
        <n v="3.6120000000000001"/>
        <n v="3.71"/>
        <n v="6.1109999999999998"/>
        <n v="2.702"/>
        <n v="5.8869999999999996"/>
        <n v="10.647"/>
        <n v="8.5890000000000004"/>
        <n v="11.781000000000001"/>
        <n v="672"/>
        <n v="12.558"/>
        <n v="8.3369999999999997"/>
        <n v="8.1340000000000003"/>
        <n v="8.4909999999999997"/>
        <n v="3.0659999999999998"/>
        <n v="4.41"/>
      </sharedItems>
    </cacheField>
    <cacheField name="Boxes Shipped" numFmtId="1">
      <sharedItems containsSemiMixedTypes="0" containsString="0" containsNumber="1" containsInteger="1" minValue="1" maxValue="709" count="385">
        <n v="180"/>
        <n v="94"/>
        <n v="91"/>
        <n v="342"/>
        <n v="184"/>
        <n v="38"/>
        <n v="176"/>
        <n v="73"/>
        <n v="59"/>
        <n v="102"/>
        <n v="62"/>
        <n v="11"/>
        <n v="286"/>
        <n v="156"/>
        <n v="173"/>
        <n v="356"/>
        <n v="42"/>
        <n v="140"/>
        <n v="250"/>
        <n v="172"/>
        <n v="88"/>
        <n v="157"/>
        <n v="163"/>
        <n v="113"/>
        <n v="115"/>
        <n v="321"/>
        <n v="186"/>
        <n v="112"/>
        <n v="151"/>
        <n v="301"/>
        <n v="121"/>
        <n v="150"/>
        <n v="133"/>
        <n v="70"/>
        <n v="315"/>
        <n v="314"/>
        <n v="72"/>
        <n v="14"/>
        <n v="581"/>
        <n v="16"/>
        <n v="354"/>
        <n v="241"/>
        <n v="142"/>
        <n v="188"/>
        <n v="160"/>
        <n v="18"/>
        <n v="303"/>
        <n v="23"/>
        <n v="135"/>
        <n v="83"/>
        <n v="179"/>
        <n v="24"/>
        <n v="416"/>
        <n v="55"/>
        <n v="227"/>
        <n v="48"/>
        <n v="174"/>
        <n v="302"/>
        <n v="149"/>
        <n v="411"/>
        <n v="56"/>
        <n v="103"/>
        <n v="9"/>
        <n v="265"/>
        <n v="214"/>
        <n v="32"/>
        <n v="244"/>
        <n v="181"/>
        <n v="137"/>
        <n v="21"/>
        <n v="311"/>
        <n v="10"/>
        <n v="82"/>
        <n v="108"/>
        <n v="401"/>
        <n v="408"/>
        <n v="420"/>
        <n v="348"/>
        <n v="270"/>
        <n v="264"/>
        <n v="111"/>
        <n v="65"/>
        <n v="97"/>
        <n v="6"/>
        <n v="482"/>
        <n v="106"/>
        <n v="31"/>
        <n v="359"/>
        <n v="80"/>
        <n v="296"/>
        <n v="101"/>
        <n v="40"/>
        <n v="167"/>
        <n v="138"/>
        <n v="520"/>
        <n v="175"/>
        <n v="92"/>
        <n v="141"/>
        <n v="283"/>
        <n v="47"/>
        <n v="125"/>
        <n v="396"/>
        <n v="87"/>
        <n v="27"/>
        <n v="547"/>
        <n v="118"/>
        <n v="46"/>
        <n v="57"/>
        <n v="22"/>
        <n v="96"/>
        <n v="44"/>
        <n v="387"/>
        <n v="50"/>
        <n v="7"/>
        <n v="90"/>
        <n v="403"/>
        <n v="110"/>
        <n v="30"/>
        <n v="117"/>
        <n v="272"/>
        <n v="128"/>
        <n v="45"/>
        <n v="212"/>
        <n v="477"/>
        <n v="178"/>
        <n v="81"/>
        <n v="196"/>
        <n v="447"/>
        <n v="136"/>
        <n v="12"/>
        <n v="104"/>
        <n v="116"/>
        <n v="202"/>
        <n v="418"/>
        <n v="389"/>
        <n v="26"/>
        <n v="146"/>
        <n v="41"/>
        <n v="54"/>
        <n v="370"/>
        <n v="210"/>
        <n v="159"/>
        <n v="187"/>
        <n v="233"/>
        <n v="282"/>
        <n v="475"/>
        <n v="43"/>
        <n v="84"/>
        <n v="78"/>
        <n v="100"/>
        <n v="66"/>
        <n v="76"/>
        <n v="190"/>
        <n v="424"/>
        <n v="134"/>
        <n v="358"/>
        <n v="249"/>
        <n v="144"/>
        <n v="390"/>
        <n v="79"/>
        <n v="122"/>
        <n v="430"/>
        <n v="69"/>
        <n v="154"/>
        <n v="99"/>
        <n v="433"/>
        <n v="19"/>
        <n v="258"/>
        <n v="200"/>
        <n v="61"/>
        <n v="246"/>
        <n v="252"/>
        <n v="256"/>
        <n v="277"/>
        <n v="216"/>
        <n v="37"/>
        <n v="109"/>
        <n v="185"/>
        <n v="170"/>
        <n v="126"/>
        <n v="275"/>
        <n v="145"/>
        <n v="139"/>
        <n v="406"/>
        <n v="417"/>
        <n v="166"/>
        <n v="3"/>
        <n v="95"/>
        <n v="312"/>
        <n v="86"/>
        <n v="242"/>
        <n v="158"/>
        <n v="209"/>
        <n v="52"/>
        <n v="51"/>
        <n v="318"/>
        <n v="238"/>
        <n v="127"/>
        <n v="53"/>
        <n v="259"/>
        <n v="107"/>
        <n v="288"/>
        <n v="218"/>
        <n v="60"/>
        <n v="58"/>
        <n v="273"/>
        <n v="28"/>
        <n v="75"/>
        <n v="329"/>
        <n v="395"/>
        <n v="195"/>
        <n v="554"/>
        <n v="152"/>
        <n v="371"/>
        <n v="203"/>
        <n v="183"/>
        <n v="197"/>
        <n v="25"/>
        <n v="415"/>
        <n v="211"/>
        <n v="74"/>
        <n v="368"/>
        <n v="409"/>
        <n v="164"/>
        <n v="352"/>
        <n v="169"/>
        <n v="223"/>
        <n v="284"/>
        <n v="309"/>
        <n v="234"/>
        <n v="215"/>
        <n v="336"/>
        <n v="280"/>
        <n v="177"/>
        <n v="147"/>
        <n v="13"/>
        <n v="2"/>
        <n v="261"/>
        <n v="68"/>
        <n v="105"/>
        <n v="39"/>
        <n v="120"/>
        <n v="257"/>
        <n v="85"/>
        <n v="226"/>
        <n v="341"/>
        <n v="330"/>
        <n v="4"/>
        <n v="285"/>
        <n v="281"/>
        <n v="322"/>
        <n v="182"/>
        <n v="467"/>
        <n v="191"/>
        <n v="317"/>
        <n v="410"/>
        <n v="254"/>
        <n v="232"/>
        <n v="543"/>
        <n v="204"/>
        <n v="469"/>
        <n v="213"/>
        <n v="5"/>
        <n v="248"/>
        <n v="129"/>
        <n v="148"/>
        <n v="93"/>
        <n v="208"/>
        <n v="316"/>
        <n v="384"/>
        <n v="260"/>
        <n v="71"/>
        <n v="224"/>
        <n v="153"/>
        <n v="67"/>
        <n v="194"/>
        <n v="334"/>
        <n v="155"/>
        <n v="407"/>
        <n v="353"/>
        <n v="114"/>
        <n v="320"/>
        <n v="49"/>
        <n v="34"/>
        <n v="130"/>
        <n v="339"/>
        <n v="392"/>
        <n v="347"/>
        <n v="333"/>
        <n v="432"/>
        <n v="236"/>
        <n v="168"/>
        <n v="402"/>
        <n v="89"/>
        <n v="199"/>
        <n v="131"/>
        <n v="479"/>
        <n v="287"/>
        <n v="269"/>
        <n v="229"/>
        <n v="293"/>
        <n v="219"/>
        <n v="189"/>
        <n v="15"/>
        <n v="198"/>
        <n v="8"/>
        <n v="162"/>
        <n v="207"/>
        <n v="300"/>
        <n v="235"/>
        <n v="251"/>
        <n v="361"/>
        <n v="239"/>
        <n v="350"/>
        <n v="33"/>
        <n v="201"/>
        <n v="323"/>
        <n v="220"/>
        <n v="488"/>
        <n v="344"/>
        <n v="512"/>
        <n v="276"/>
        <n v="271"/>
        <n v="508"/>
        <n v="243"/>
        <n v="98"/>
        <n v="308"/>
        <n v="398"/>
        <n v="124"/>
        <n v="351"/>
        <n v="708"/>
        <n v="289"/>
        <n v="20"/>
        <n v="171"/>
        <n v="29"/>
        <n v="419"/>
        <n v="457"/>
        <n v="524"/>
        <n v="597"/>
        <n v="305"/>
        <n v="313"/>
        <n v="377"/>
        <n v="205"/>
        <n v="307"/>
        <n v="228"/>
        <n v="425"/>
        <n v="495"/>
        <n v="1"/>
        <n v="310"/>
        <n v="294"/>
        <n v="413"/>
        <n v="237"/>
        <n v="614"/>
        <n v="222"/>
        <n v="468"/>
        <n v="518"/>
        <n v="247"/>
        <n v="63"/>
        <n v="123"/>
        <n v="438"/>
        <n v="64"/>
        <n v="262"/>
        <n v="306"/>
        <n v="304"/>
        <n v="165"/>
        <n v="446"/>
        <n v="119"/>
        <n v="539"/>
        <n v="434"/>
        <n v="299"/>
        <n v="35"/>
        <n v="363"/>
        <n v="421"/>
        <n v="709"/>
        <n v="380"/>
        <n v="465"/>
        <n v="77"/>
        <n v="464"/>
        <n v="132"/>
        <n v="295"/>
        <n v="319"/>
        <n v="591"/>
        <n v="268"/>
        <n v="338"/>
        <n v="217"/>
      </sharedItems>
    </cacheField>
    <cacheField name="Days (Date)" numFmtId="0" databaseField="0">
      <fieldGroup base="3">
        <rangePr groupBy="days" startDate="2022-01-03T00:00:00" endDate="2022-09-01T00:00:00"/>
        <groupItems count="368">
          <s v="&lt;03/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9/2022"/>
        </groupItems>
      </fieldGroup>
    </cacheField>
    <cacheField name="Months (Date)" numFmtId="0" databaseField="0">
      <fieldGroup base="3">
        <rangePr groupBy="months" startDate="2022-01-03T00:00:00" endDate="2022-09-01T00:00:00"/>
        <groupItems count="14">
          <s v="&lt;03/01/2022"/>
          <s v="Jan"/>
          <s v="Feb"/>
          <s v="Mar"/>
          <s v="Apr"/>
          <s v="May"/>
          <s v="Jun"/>
          <s v="Jul"/>
          <s v="Aug"/>
          <s v="Sep"/>
          <s v="Oct"/>
          <s v="Nov"/>
          <s v="Dec"/>
          <s v="&gt;01/09/2022"/>
        </groupItems>
      </fieldGroup>
    </cacheField>
  </cacheFields>
  <extLst>
    <ext xmlns:x14="http://schemas.microsoft.com/office/spreadsheetml/2009/9/main" uri="{725AE2AE-9491-48be-B2B4-4EB974FC3084}">
      <x14:pivotCacheDefinition pivotCacheId="13459528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4">
  <r>
    <x v="0"/>
    <x v="0"/>
    <x v="0"/>
    <x v="0"/>
    <x v="0"/>
    <x v="0"/>
  </r>
  <r>
    <x v="1"/>
    <x v="1"/>
    <x v="1"/>
    <x v="1"/>
    <x v="1"/>
    <x v="1"/>
  </r>
  <r>
    <x v="2"/>
    <x v="1"/>
    <x v="2"/>
    <x v="2"/>
    <x v="2"/>
    <x v="2"/>
  </r>
  <r>
    <x v="3"/>
    <x v="2"/>
    <x v="2"/>
    <x v="3"/>
    <x v="3"/>
    <x v="3"/>
  </r>
  <r>
    <x v="0"/>
    <x v="0"/>
    <x v="2"/>
    <x v="4"/>
    <x v="4"/>
    <x v="4"/>
  </r>
  <r>
    <x v="1"/>
    <x v="1"/>
    <x v="3"/>
    <x v="5"/>
    <x v="5"/>
    <x v="5"/>
  </r>
  <r>
    <x v="4"/>
    <x v="0"/>
    <x v="4"/>
    <x v="6"/>
    <x v="4"/>
    <x v="6"/>
  </r>
  <r>
    <x v="5"/>
    <x v="2"/>
    <x v="5"/>
    <x v="7"/>
    <x v="6"/>
    <x v="7"/>
  </r>
  <r>
    <x v="0"/>
    <x v="3"/>
    <x v="6"/>
    <x v="8"/>
    <x v="7"/>
    <x v="8"/>
  </r>
  <r>
    <x v="6"/>
    <x v="2"/>
    <x v="4"/>
    <x v="9"/>
    <x v="8"/>
    <x v="9"/>
  </r>
  <r>
    <x v="7"/>
    <x v="0"/>
    <x v="3"/>
    <x v="10"/>
    <x v="9"/>
    <x v="10"/>
  </r>
  <r>
    <x v="8"/>
    <x v="4"/>
    <x v="7"/>
    <x v="11"/>
    <x v="10"/>
    <x v="11"/>
  </r>
  <r>
    <x v="9"/>
    <x v="5"/>
    <x v="8"/>
    <x v="10"/>
    <x v="11"/>
    <x v="12"/>
  </r>
  <r>
    <x v="10"/>
    <x v="3"/>
    <x v="9"/>
    <x v="12"/>
    <x v="12"/>
    <x v="13"/>
  </r>
  <r>
    <x v="11"/>
    <x v="3"/>
    <x v="2"/>
    <x v="13"/>
    <x v="13"/>
    <x v="14"/>
  </r>
  <r>
    <x v="12"/>
    <x v="2"/>
    <x v="10"/>
    <x v="14"/>
    <x v="14"/>
    <x v="15"/>
  </r>
  <r>
    <x v="1"/>
    <x v="5"/>
    <x v="10"/>
    <x v="15"/>
    <x v="15"/>
    <x v="16"/>
  </r>
  <r>
    <x v="13"/>
    <x v="4"/>
    <x v="3"/>
    <x v="16"/>
    <x v="16"/>
    <x v="17"/>
  </r>
  <r>
    <x v="12"/>
    <x v="5"/>
    <x v="11"/>
    <x v="17"/>
    <x v="17"/>
    <x v="18"/>
  </r>
  <r>
    <x v="14"/>
    <x v="0"/>
    <x v="1"/>
    <x v="18"/>
    <x v="18"/>
    <x v="19"/>
  </r>
  <r>
    <x v="6"/>
    <x v="2"/>
    <x v="8"/>
    <x v="19"/>
    <x v="19"/>
    <x v="20"/>
  </r>
  <r>
    <x v="5"/>
    <x v="4"/>
    <x v="12"/>
    <x v="20"/>
    <x v="20"/>
    <x v="21"/>
  </r>
  <r>
    <x v="11"/>
    <x v="4"/>
    <x v="5"/>
    <x v="21"/>
    <x v="21"/>
    <x v="22"/>
  </r>
  <r>
    <x v="15"/>
    <x v="0"/>
    <x v="9"/>
    <x v="22"/>
    <x v="22"/>
    <x v="23"/>
  </r>
  <r>
    <x v="16"/>
    <x v="2"/>
    <x v="8"/>
    <x v="23"/>
    <x v="23"/>
    <x v="24"/>
  </r>
  <r>
    <x v="10"/>
    <x v="1"/>
    <x v="13"/>
    <x v="14"/>
    <x v="12"/>
    <x v="25"/>
  </r>
  <r>
    <x v="13"/>
    <x v="5"/>
    <x v="12"/>
    <x v="24"/>
    <x v="24"/>
    <x v="26"/>
  </r>
  <r>
    <x v="15"/>
    <x v="4"/>
    <x v="8"/>
    <x v="2"/>
    <x v="25"/>
    <x v="27"/>
  </r>
  <r>
    <x v="17"/>
    <x v="3"/>
    <x v="14"/>
    <x v="25"/>
    <x v="26"/>
    <x v="28"/>
  </r>
  <r>
    <x v="17"/>
    <x v="3"/>
    <x v="15"/>
    <x v="26"/>
    <x v="27"/>
    <x v="29"/>
  </r>
  <r>
    <x v="1"/>
    <x v="3"/>
    <x v="1"/>
    <x v="27"/>
    <x v="28"/>
    <x v="30"/>
  </r>
  <r>
    <x v="7"/>
    <x v="0"/>
    <x v="4"/>
    <x v="28"/>
    <x v="29"/>
    <x v="31"/>
  </r>
  <r>
    <x v="18"/>
    <x v="2"/>
    <x v="15"/>
    <x v="29"/>
    <x v="30"/>
    <x v="1"/>
  </r>
  <r>
    <x v="10"/>
    <x v="0"/>
    <x v="16"/>
    <x v="30"/>
    <x v="31"/>
    <x v="32"/>
  </r>
  <r>
    <x v="19"/>
    <x v="5"/>
    <x v="5"/>
    <x v="29"/>
    <x v="32"/>
    <x v="33"/>
  </r>
  <r>
    <x v="13"/>
    <x v="4"/>
    <x v="15"/>
    <x v="31"/>
    <x v="33"/>
    <x v="34"/>
  </r>
  <r>
    <x v="19"/>
    <x v="0"/>
    <x v="6"/>
    <x v="32"/>
    <x v="34"/>
    <x v="35"/>
  </r>
  <r>
    <x v="20"/>
    <x v="3"/>
    <x v="5"/>
    <x v="2"/>
    <x v="35"/>
    <x v="36"/>
  </r>
  <r>
    <x v="21"/>
    <x v="2"/>
    <x v="1"/>
    <x v="33"/>
    <x v="36"/>
    <x v="37"/>
  </r>
  <r>
    <x v="10"/>
    <x v="1"/>
    <x v="15"/>
    <x v="9"/>
    <x v="37"/>
    <x v="38"/>
  </r>
  <r>
    <x v="20"/>
    <x v="4"/>
    <x v="5"/>
    <x v="34"/>
    <x v="38"/>
    <x v="39"/>
  </r>
  <r>
    <x v="10"/>
    <x v="4"/>
    <x v="17"/>
    <x v="35"/>
    <x v="39"/>
    <x v="40"/>
  </r>
  <r>
    <x v="9"/>
    <x v="5"/>
    <x v="18"/>
    <x v="36"/>
    <x v="40"/>
    <x v="41"/>
  </r>
  <r>
    <x v="19"/>
    <x v="1"/>
    <x v="12"/>
    <x v="37"/>
    <x v="41"/>
    <x v="42"/>
  </r>
  <r>
    <x v="22"/>
    <x v="5"/>
    <x v="16"/>
    <x v="38"/>
    <x v="42"/>
    <x v="9"/>
  </r>
  <r>
    <x v="16"/>
    <x v="4"/>
    <x v="2"/>
    <x v="17"/>
    <x v="14"/>
    <x v="43"/>
  </r>
  <r>
    <x v="1"/>
    <x v="4"/>
    <x v="6"/>
    <x v="10"/>
    <x v="43"/>
    <x v="44"/>
  </r>
  <r>
    <x v="14"/>
    <x v="2"/>
    <x v="11"/>
    <x v="15"/>
    <x v="44"/>
    <x v="45"/>
  </r>
  <r>
    <x v="13"/>
    <x v="1"/>
    <x v="8"/>
    <x v="39"/>
    <x v="45"/>
    <x v="46"/>
  </r>
  <r>
    <x v="14"/>
    <x v="1"/>
    <x v="13"/>
    <x v="2"/>
    <x v="46"/>
    <x v="6"/>
  </r>
  <r>
    <x v="14"/>
    <x v="5"/>
    <x v="16"/>
    <x v="7"/>
    <x v="47"/>
    <x v="33"/>
  </r>
  <r>
    <x v="6"/>
    <x v="2"/>
    <x v="13"/>
    <x v="5"/>
    <x v="48"/>
    <x v="47"/>
  </r>
  <r>
    <x v="23"/>
    <x v="2"/>
    <x v="9"/>
    <x v="40"/>
    <x v="49"/>
    <x v="48"/>
  </r>
  <r>
    <x v="12"/>
    <x v="4"/>
    <x v="17"/>
    <x v="41"/>
    <x v="50"/>
    <x v="49"/>
  </r>
  <r>
    <x v="11"/>
    <x v="1"/>
    <x v="1"/>
    <x v="40"/>
    <x v="51"/>
    <x v="50"/>
  </r>
  <r>
    <x v="0"/>
    <x v="5"/>
    <x v="9"/>
    <x v="42"/>
    <x v="52"/>
    <x v="51"/>
  </r>
  <r>
    <x v="24"/>
    <x v="3"/>
    <x v="12"/>
    <x v="15"/>
    <x v="53"/>
    <x v="45"/>
  </r>
  <r>
    <x v="6"/>
    <x v="5"/>
    <x v="4"/>
    <x v="43"/>
    <x v="54"/>
    <x v="52"/>
  </r>
  <r>
    <x v="8"/>
    <x v="2"/>
    <x v="13"/>
    <x v="30"/>
    <x v="55"/>
    <x v="53"/>
  </r>
  <r>
    <x v="19"/>
    <x v="2"/>
    <x v="6"/>
    <x v="34"/>
    <x v="56"/>
    <x v="54"/>
  </r>
  <r>
    <x v="19"/>
    <x v="2"/>
    <x v="9"/>
    <x v="44"/>
    <x v="57"/>
    <x v="55"/>
  </r>
  <r>
    <x v="11"/>
    <x v="2"/>
    <x v="10"/>
    <x v="45"/>
    <x v="58"/>
    <x v="56"/>
  </r>
  <r>
    <x v="20"/>
    <x v="5"/>
    <x v="19"/>
    <x v="46"/>
    <x v="59"/>
    <x v="57"/>
  </r>
  <r>
    <x v="10"/>
    <x v="1"/>
    <x v="16"/>
    <x v="47"/>
    <x v="60"/>
    <x v="58"/>
  </r>
  <r>
    <x v="4"/>
    <x v="1"/>
    <x v="4"/>
    <x v="48"/>
    <x v="61"/>
    <x v="11"/>
  </r>
  <r>
    <x v="18"/>
    <x v="2"/>
    <x v="20"/>
    <x v="49"/>
    <x v="62"/>
    <x v="11"/>
  </r>
  <r>
    <x v="1"/>
    <x v="2"/>
    <x v="10"/>
    <x v="50"/>
    <x v="63"/>
    <x v="37"/>
  </r>
  <r>
    <x v="21"/>
    <x v="1"/>
    <x v="6"/>
    <x v="9"/>
    <x v="64"/>
    <x v="59"/>
  </r>
  <r>
    <x v="4"/>
    <x v="1"/>
    <x v="10"/>
    <x v="51"/>
    <x v="65"/>
    <x v="60"/>
  </r>
  <r>
    <x v="3"/>
    <x v="4"/>
    <x v="2"/>
    <x v="31"/>
    <x v="66"/>
    <x v="9"/>
  </r>
  <r>
    <x v="2"/>
    <x v="4"/>
    <x v="18"/>
    <x v="52"/>
    <x v="67"/>
    <x v="61"/>
  </r>
  <r>
    <x v="2"/>
    <x v="0"/>
    <x v="16"/>
    <x v="53"/>
    <x v="68"/>
    <x v="62"/>
  </r>
  <r>
    <x v="0"/>
    <x v="3"/>
    <x v="14"/>
    <x v="54"/>
    <x v="69"/>
    <x v="41"/>
  </r>
  <r>
    <x v="19"/>
    <x v="3"/>
    <x v="2"/>
    <x v="55"/>
    <x v="70"/>
    <x v="63"/>
  </r>
  <r>
    <x v="1"/>
    <x v="0"/>
    <x v="10"/>
    <x v="56"/>
    <x v="71"/>
    <x v="64"/>
  </r>
  <r>
    <x v="13"/>
    <x v="5"/>
    <x v="11"/>
    <x v="57"/>
    <x v="72"/>
    <x v="65"/>
  </r>
  <r>
    <x v="21"/>
    <x v="4"/>
    <x v="12"/>
    <x v="58"/>
    <x v="73"/>
    <x v="66"/>
  </r>
  <r>
    <x v="11"/>
    <x v="4"/>
    <x v="7"/>
    <x v="59"/>
    <x v="74"/>
    <x v="67"/>
  </r>
  <r>
    <x v="1"/>
    <x v="0"/>
    <x v="4"/>
    <x v="60"/>
    <x v="75"/>
    <x v="68"/>
  </r>
  <r>
    <x v="21"/>
    <x v="4"/>
    <x v="14"/>
    <x v="61"/>
    <x v="76"/>
    <x v="51"/>
  </r>
  <r>
    <x v="19"/>
    <x v="4"/>
    <x v="17"/>
    <x v="30"/>
    <x v="77"/>
    <x v="69"/>
  </r>
  <r>
    <x v="23"/>
    <x v="2"/>
    <x v="13"/>
    <x v="62"/>
    <x v="78"/>
    <x v="70"/>
  </r>
  <r>
    <x v="6"/>
    <x v="3"/>
    <x v="0"/>
    <x v="1"/>
    <x v="79"/>
    <x v="67"/>
  </r>
  <r>
    <x v="13"/>
    <x v="3"/>
    <x v="5"/>
    <x v="63"/>
    <x v="80"/>
    <x v="71"/>
  </r>
  <r>
    <x v="13"/>
    <x v="5"/>
    <x v="10"/>
    <x v="53"/>
    <x v="81"/>
    <x v="72"/>
  </r>
  <r>
    <x v="17"/>
    <x v="2"/>
    <x v="21"/>
    <x v="64"/>
    <x v="82"/>
    <x v="73"/>
  </r>
  <r>
    <x v="10"/>
    <x v="4"/>
    <x v="7"/>
    <x v="65"/>
    <x v="83"/>
    <x v="74"/>
  </r>
  <r>
    <x v="22"/>
    <x v="2"/>
    <x v="12"/>
    <x v="66"/>
    <x v="84"/>
    <x v="75"/>
  </r>
  <r>
    <x v="17"/>
    <x v="2"/>
    <x v="1"/>
    <x v="16"/>
    <x v="85"/>
    <x v="76"/>
  </r>
  <r>
    <x v="19"/>
    <x v="5"/>
    <x v="20"/>
    <x v="67"/>
    <x v="86"/>
    <x v="77"/>
  </r>
  <r>
    <x v="17"/>
    <x v="0"/>
    <x v="8"/>
    <x v="7"/>
    <x v="87"/>
    <x v="78"/>
  </r>
  <r>
    <x v="22"/>
    <x v="1"/>
    <x v="17"/>
    <x v="2"/>
    <x v="88"/>
    <x v="62"/>
  </r>
  <r>
    <x v="1"/>
    <x v="4"/>
    <x v="5"/>
    <x v="68"/>
    <x v="89"/>
    <x v="79"/>
  </r>
  <r>
    <x v="18"/>
    <x v="2"/>
    <x v="10"/>
    <x v="2"/>
    <x v="90"/>
    <x v="80"/>
  </r>
  <r>
    <x v="10"/>
    <x v="5"/>
    <x v="6"/>
    <x v="42"/>
    <x v="91"/>
    <x v="81"/>
  </r>
  <r>
    <x v="13"/>
    <x v="3"/>
    <x v="7"/>
    <x v="69"/>
    <x v="92"/>
    <x v="82"/>
  </r>
  <r>
    <x v="12"/>
    <x v="2"/>
    <x v="8"/>
    <x v="55"/>
    <x v="93"/>
    <x v="83"/>
  </r>
  <r>
    <x v="20"/>
    <x v="0"/>
    <x v="13"/>
    <x v="28"/>
    <x v="94"/>
    <x v="84"/>
  </r>
  <r>
    <x v="11"/>
    <x v="4"/>
    <x v="6"/>
    <x v="26"/>
    <x v="95"/>
    <x v="85"/>
  </r>
  <r>
    <x v="15"/>
    <x v="4"/>
    <x v="5"/>
    <x v="70"/>
    <x v="96"/>
    <x v="0"/>
  </r>
  <r>
    <x v="17"/>
    <x v="2"/>
    <x v="17"/>
    <x v="22"/>
    <x v="97"/>
    <x v="86"/>
  </r>
  <r>
    <x v="19"/>
    <x v="4"/>
    <x v="13"/>
    <x v="42"/>
    <x v="98"/>
    <x v="87"/>
  </r>
  <r>
    <x v="20"/>
    <x v="1"/>
    <x v="8"/>
    <x v="41"/>
    <x v="99"/>
    <x v="88"/>
  </r>
  <r>
    <x v="11"/>
    <x v="4"/>
    <x v="4"/>
    <x v="71"/>
    <x v="100"/>
    <x v="89"/>
  </r>
  <r>
    <x v="6"/>
    <x v="5"/>
    <x v="12"/>
    <x v="72"/>
    <x v="101"/>
    <x v="90"/>
  </r>
  <r>
    <x v="10"/>
    <x v="3"/>
    <x v="21"/>
    <x v="73"/>
    <x v="102"/>
    <x v="91"/>
  </r>
  <r>
    <x v="15"/>
    <x v="0"/>
    <x v="12"/>
    <x v="74"/>
    <x v="103"/>
    <x v="16"/>
  </r>
  <r>
    <x v="11"/>
    <x v="4"/>
    <x v="16"/>
    <x v="75"/>
    <x v="104"/>
    <x v="92"/>
  </r>
  <r>
    <x v="20"/>
    <x v="1"/>
    <x v="7"/>
    <x v="76"/>
    <x v="105"/>
    <x v="93"/>
  </r>
  <r>
    <x v="3"/>
    <x v="1"/>
    <x v="12"/>
    <x v="77"/>
    <x v="106"/>
    <x v="94"/>
  </r>
  <r>
    <x v="24"/>
    <x v="1"/>
    <x v="12"/>
    <x v="47"/>
    <x v="107"/>
    <x v="1"/>
  </r>
  <r>
    <x v="20"/>
    <x v="0"/>
    <x v="3"/>
    <x v="78"/>
    <x v="108"/>
    <x v="95"/>
  </r>
  <r>
    <x v="22"/>
    <x v="2"/>
    <x v="13"/>
    <x v="79"/>
    <x v="109"/>
    <x v="96"/>
  </r>
  <r>
    <x v="22"/>
    <x v="5"/>
    <x v="21"/>
    <x v="80"/>
    <x v="110"/>
    <x v="97"/>
  </r>
  <r>
    <x v="18"/>
    <x v="2"/>
    <x v="9"/>
    <x v="81"/>
    <x v="111"/>
    <x v="98"/>
  </r>
  <r>
    <x v="5"/>
    <x v="2"/>
    <x v="13"/>
    <x v="26"/>
    <x v="112"/>
    <x v="69"/>
  </r>
  <r>
    <x v="2"/>
    <x v="5"/>
    <x v="19"/>
    <x v="82"/>
    <x v="113"/>
    <x v="99"/>
  </r>
  <r>
    <x v="20"/>
    <x v="1"/>
    <x v="20"/>
    <x v="83"/>
    <x v="114"/>
    <x v="100"/>
  </r>
  <r>
    <x v="7"/>
    <x v="2"/>
    <x v="9"/>
    <x v="84"/>
    <x v="115"/>
    <x v="101"/>
  </r>
  <r>
    <x v="20"/>
    <x v="4"/>
    <x v="15"/>
    <x v="17"/>
    <x v="116"/>
    <x v="102"/>
  </r>
  <r>
    <x v="0"/>
    <x v="5"/>
    <x v="12"/>
    <x v="10"/>
    <x v="117"/>
    <x v="103"/>
  </r>
  <r>
    <x v="20"/>
    <x v="2"/>
    <x v="8"/>
    <x v="85"/>
    <x v="118"/>
    <x v="104"/>
  </r>
  <r>
    <x v="14"/>
    <x v="5"/>
    <x v="12"/>
    <x v="86"/>
    <x v="119"/>
    <x v="105"/>
  </r>
  <r>
    <x v="4"/>
    <x v="1"/>
    <x v="17"/>
    <x v="49"/>
    <x v="120"/>
    <x v="106"/>
  </r>
  <r>
    <x v="20"/>
    <x v="0"/>
    <x v="8"/>
    <x v="6"/>
    <x v="121"/>
    <x v="107"/>
  </r>
  <r>
    <x v="3"/>
    <x v="1"/>
    <x v="16"/>
    <x v="54"/>
    <x v="122"/>
    <x v="108"/>
  </r>
  <r>
    <x v="23"/>
    <x v="0"/>
    <x v="16"/>
    <x v="12"/>
    <x v="123"/>
    <x v="109"/>
  </r>
  <r>
    <x v="11"/>
    <x v="3"/>
    <x v="5"/>
    <x v="87"/>
    <x v="124"/>
    <x v="110"/>
  </r>
  <r>
    <x v="15"/>
    <x v="2"/>
    <x v="7"/>
    <x v="44"/>
    <x v="125"/>
    <x v="43"/>
  </r>
  <r>
    <x v="11"/>
    <x v="2"/>
    <x v="11"/>
    <x v="12"/>
    <x v="126"/>
    <x v="111"/>
  </r>
  <r>
    <x v="20"/>
    <x v="5"/>
    <x v="4"/>
    <x v="88"/>
    <x v="127"/>
    <x v="112"/>
  </r>
  <r>
    <x v="16"/>
    <x v="2"/>
    <x v="15"/>
    <x v="89"/>
    <x v="128"/>
    <x v="79"/>
  </r>
  <r>
    <x v="12"/>
    <x v="3"/>
    <x v="14"/>
    <x v="7"/>
    <x v="129"/>
    <x v="113"/>
  </r>
  <r>
    <x v="1"/>
    <x v="0"/>
    <x v="11"/>
    <x v="90"/>
    <x v="130"/>
    <x v="114"/>
  </r>
  <r>
    <x v="4"/>
    <x v="5"/>
    <x v="4"/>
    <x v="1"/>
    <x v="131"/>
    <x v="115"/>
  </r>
  <r>
    <x v="1"/>
    <x v="1"/>
    <x v="10"/>
    <x v="45"/>
    <x v="132"/>
    <x v="56"/>
  </r>
  <r>
    <x v="13"/>
    <x v="1"/>
    <x v="3"/>
    <x v="50"/>
    <x v="133"/>
    <x v="17"/>
  </r>
  <r>
    <x v="3"/>
    <x v="1"/>
    <x v="8"/>
    <x v="79"/>
    <x v="134"/>
    <x v="103"/>
  </r>
  <r>
    <x v="24"/>
    <x v="0"/>
    <x v="3"/>
    <x v="36"/>
    <x v="135"/>
    <x v="116"/>
  </r>
  <r>
    <x v="18"/>
    <x v="4"/>
    <x v="5"/>
    <x v="91"/>
    <x v="136"/>
    <x v="117"/>
  </r>
  <r>
    <x v="2"/>
    <x v="3"/>
    <x v="13"/>
    <x v="92"/>
    <x v="137"/>
    <x v="30"/>
  </r>
  <r>
    <x v="8"/>
    <x v="4"/>
    <x v="17"/>
    <x v="77"/>
    <x v="138"/>
    <x v="90"/>
  </r>
  <r>
    <x v="18"/>
    <x v="3"/>
    <x v="1"/>
    <x v="73"/>
    <x v="93"/>
    <x v="118"/>
  </r>
  <r>
    <x v="2"/>
    <x v="3"/>
    <x v="15"/>
    <x v="44"/>
    <x v="139"/>
    <x v="119"/>
  </r>
  <r>
    <x v="24"/>
    <x v="2"/>
    <x v="8"/>
    <x v="25"/>
    <x v="140"/>
    <x v="120"/>
  </r>
  <r>
    <x v="7"/>
    <x v="3"/>
    <x v="18"/>
    <x v="76"/>
    <x v="141"/>
    <x v="121"/>
  </r>
  <r>
    <x v="6"/>
    <x v="3"/>
    <x v="3"/>
    <x v="93"/>
    <x v="142"/>
    <x v="103"/>
  </r>
  <r>
    <x v="6"/>
    <x v="2"/>
    <x v="19"/>
    <x v="0"/>
    <x v="143"/>
    <x v="122"/>
  </r>
  <r>
    <x v="17"/>
    <x v="2"/>
    <x v="4"/>
    <x v="60"/>
    <x v="144"/>
    <x v="45"/>
  </r>
  <r>
    <x v="20"/>
    <x v="1"/>
    <x v="16"/>
    <x v="22"/>
    <x v="145"/>
    <x v="58"/>
  </r>
  <r>
    <x v="21"/>
    <x v="2"/>
    <x v="21"/>
    <x v="94"/>
    <x v="146"/>
    <x v="123"/>
  </r>
  <r>
    <x v="4"/>
    <x v="1"/>
    <x v="3"/>
    <x v="64"/>
    <x v="147"/>
    <x v="73"/>
  </r>
  <r>
    <x v="16"/>
    <x v="0"/>
    <x v="10"/>
    <x v="95"/>
    <x v="148"/>
    <x v="124"/>
  </r>
  <r>
    <x v="11"/>
    <x v="1"/>
    <x v="20"/>
    <x v="83"/>
    <x v="149"/>
    <x v="125"/>
  </r>
  <r>
    <x v="10"/>
    <x v="0"/>
    <x v="8"/>
    <x v="6"/>
    <x v="104"/>
    <x v="126"/>
  </r>
  <r>
    <x v="1"/>
    <x v="1"/>
    <x v="19"/>
    <x v="55"/>
    <x v="150"/>
    <x v="127"/>
  </r>
  <r>
    <x v="2"/>
    <x v="0"/>
    <x v="5"/>
    <x v="96"/>
    <x v="151"/>
    <x v="95"/>
  </r>
  <r>
    <x v="14"/>
    <x v="2"/>
    <x v="7"/>
    <x v="97"/>
    <x v="119"/>
    <x v="128"/>
  </r>
  <r>
    <x v="0"/>
    <x v="5"/>
    <x v="3"/>
    <x v="36"/>
    <x v="152"/>
    <x v="93"/>
  </r>
  <r>
    <x v="10"/>
    <x v="5"/>
    <x v="3"/>
    <x v="78"/>
    <x v="16"/>
    <x v="4"/>
  </r>
  <r>
    <x v="19"/>
    <x v="4"/>
    <x v="1"/>
    <x v="16"/>
    <x v="153"/>
    <x v="72"/>
  </r>
  <r>
    <x v="0"/>
    <x v="5"/>
    <x v="11"/>
    <x v="84"/>
    <x v="154"/>
    <x v="129"/>
  </r>
  <r>
    <x v="7"/>
    <x v="3"/>
    <x v="20"/>
    <x v="98"/>
    <x v="155"/>
    <x v="37"/>
  </r>
  <r>
    <x v="9"/>
    <x v="2"/>
    <x v="11"/>
    <x v="99"/>
    <x v="156"/>
    <x v="130"/>
  </r>
  <r>
    <x v="8"/>
    <x v="4"/>
    <x v="13"/>
    <x v="82"/>
    <x v="157"/>
    <x v="106"/>
  </r>
  <r>
    <x v="11"/>
    <x v="0"/>
    <x v="20"/>
    <x v="40"/>
    <x v="158"/>
    <x v="27"/>
  </r>
  <r>
    <x v="9"/>
    <x v="3"/>
    <x v="15"/>
    <x v="100"/>
    <x v="159"/>
    <x v="11"/>
  </r>
  <r>
    <x v="13"/>
    <x v="1"/>
    <x v="2"/>
    <x v="58"/>
    <x v="160"/>
    <x v="69"/>
  </r>
  <r>
    <x v="13"/>
    <x v="3"/>
    <x v="11"/>
    <x v="52"/>
    <x v="161"/>
    <x v="131"/>
  </r>
  <r>
    <x v="24"/>
    <x v="2"/>
    <x v="14"/>
    <x v="52"/>
    <x v="162"/>
    <x v="132"/>
  </r>
  <r>
    <x v="1"/>
    <x v="4"/>
    <x v="4"/>
    <x v="12"/>
    <x v="163"/>
    <x v="83"/>
  </r>
  <r>
    <x v="20"/>
    <x v="1"/>
    <x v="5"/>
    <x v="101"/>
    <x v="164"/>
    <x v="94"/>
  </r>
  <r>
    <x v="6"/>
    <x v="0"/>
    <x v="14"/>
    <x v="77"/>
    <x v="165"/>
    <x v="92"/>
  </r>
  <r>
    <x v="1"/>
    <x v="5"/>
    <x v="16"/>
    <x v="19"/>
    <x v="166"/>
    <x v="36"/>
  </r>
  <r>
    <x v="0"/>
    <x v="2"/>
    <x v="6"/>
    <x v="102"/>
    <x v="167"/>
    <x v="133"/>
  </r>
  <r>
    <x v="10"/>
    <x v="0"/>
    <x v="19"/>
    <x v="64"/>
    <x v="21"/>
    <x v="134"/>
  </r>
  <r>
    <x v="0"/>
    <x v="2"/>
    <x v="7"/>
    <x v="85"/>
    <x v="168"/>
    <x v="135"/>
  </r>
  <r>
    <x v="11"/>
    <x v="1"/>
    <x v="2"/>
    <x v="53"/>
    <x v="169"/>
    <x v="136"/>
  </r>
  <r>
    <x v="4"/>
    <x v="0"/>
    <x v="18"/>
    <x v="103"/>
    <x v="170"/>
    <x v="137"/>
  </r>
  <r>
    <x v="2"/>
    <x v="4"/>
    <x v="12"/>
    <x v="104"/>
    <x v="171"/>
    <x v="138"/>
  </r>
  <r>
    <x v="8"/>
    <x v="2"/>
    <x v="14"/>
    <x v="9"/>
    <x v="172"/>
    <x v="139"/>
  </r>
  <r>
    <x v="16"/>
    <x v="5"/>
    <x v="2"/>
    <x v="9"/>
    <x v="173"/>
    <x v="6"/>
  </r>
  <r>
    <x v="23"/>
    <x v="4"/>
    <x v="15"/>
    <x v="50"/>
    <x v="58"/>
    <x v="140"/>
  </r>
  <r>
    <x v="17"/>
    <x v="2"/>
    <x v="6"/>
    <x v="69"/>
    <x v="174"/>
    <x v="129"/>
  </r>
  <r>
    <x v="2"/>
    <x v="1"/>
    <x v="17"/>
    <x v="105"/>
    <x v="175"/>
    <x v="141"/>
  </r>
  <r>
    <x v="21"/>
    <x v="0"/>
    <x v="14"/>
    <x v="67"/>
    <x v="176"/>
    <x v="142"/>
  </r>
  <r>
    <x v="10"/>
    <x v="1"/>
    <x v="9"/>
    <x v="106"/>
    <x v="177"/>
    <x v="143"/>
  </r>
  <r>
    <x v="23"/>
    <x v="0"/>
    <x v="4"/>
    <x v="67"/>
    <x v="178"/>
    <x v="144"/>
  </r>
  <r>
    <x v="15"/>
    <x v="3"/>
    <x v="20"/>
    <x v="59"/>
    <x v="179"/>
    <x v="145"/>
  </r>
  <r>
    <x v="8"/>
    <x v="0"/>
    <x v="6"/>
    <x v="82"/>
    <x v="180"/>
    <x v="81"/>
  </r>
  <r>
    <x v="14"/>
    <x v="2"/>
    <x v="10"/>
    <x v="44"/>
    <x v="181"/>
    <x v="70"/>
  </r>
  <r>
    <x v="15"/>
    <x v="0"/>
    <x v="18"/>
    <x v="52"/>
    <x v="182"/>
    <x v="146"/>
  </r>
  <r>
    <x v="18"/>
    <x v="2"/>
    <x v="5"/>
    <x v="48"/>
    <x v="183"/>
    <x v="135"/>
  </r>
  <r>
    <x v="17"/>
    <x v="4"/>
    <x v="16"/>
    <x v="30"/>
    <x v="184"/>
    <x v="147"/>
  </r>
  <r>
    <x v="8"/>
    <x v="5"/>
    <x v="2"/>
    <x v="76"/>
    <x v="185"/>
    <x v="148"/>
  </r>
  <r>
    <x v="16"/>
    <x v="4"/>
    <x v="21"/>
    <x v="65"/>
    <x v="186"/>
    <x v="149"/>
  </r>
  <r>
    <x v="8"/>
    <x v="3"/>
    <x v="17"/>
    <x v="99"/>
    <x v="187"/>
    <x v="150"/>
  </r>
  <r>
    <x v="17"/>
    <x v="0"/>
    <x v="14"/>
    <x v="13"/>
    <x v="188"/>
    <x v="63"/>
  </r>
  <r>
    <x v="8"/>
    <x v="1"/>
    <x v="19"/>
    <x v="61"/>
    <x v="189"/>
    <x v="97"/>
  </r>
  <r>
    <x v="1"/>
    <x v="3"/>
    <x v="3"/>
    <x v="107"/>
    <x v="190"/>
    <x v="16"/>
  </r>
  <r>
    <x v="12"/>
    <x v="0"/>
    <x v="14"/>
    <x v="30"/>
    <x v="191"/>
    <x v="151"/>
  </r>
  <r>
    <x v="21"/>
    <x v="3"/>
    <x v="0"/>
    <x v="108"/>
    <x v="192"/>
    <x v="152"/>
  </r>
  <r>
    <x v="24"/>
    <x v="0"/>
    <x v="7"/>
    <x v="3"/>
    <x v="193"/>
    <x v="138"/>
  </r>
  <r>
    <x v="3"/>
    <x v="2"/>
    <x v="14"/>
    <x v="109"/>
    <x v="181"/>
    <x v="65"/>
  </r>
  <r>
    <x v="9"/>
    <x v="5"/>
    <x v="1"/>
    <x v="8"/>
    <x v="194"/>
    <x v="153"/>
  </r>
  <r>
    <x v="7"/>
    <x v="1"/>
    <x v="12"/>
    <x v="0"/>
    <x v="195"/>
    <x v="154"/>
  </r>
  <r>
    <x v="24"/>
    <x v="2"/>
    <x v="0"/>
    <x v="84"/>
    <x v="196"/>
    <x v="96"/>
  </r>
  <r>
    <x v="10"/>
    <x v="2"/>
    <x v="14"/>
    <x v="79"/>
    <x v="197"/>
    <x v="55"/>
  </r>
  <r>
    <x v="12"/>
    <x v="1"/>
    <x v="9"/>
    <x v="42"/>
    <x v="198"/>
    <x v="106"/>
  </r>
  <r>
    <x v="6"/>
    <x v="2"/>
    <x v="18"/>
    <x v="63"/>
    <x v="199"/>
    <x v="10"/>
  </r>
  <r>
    <x v="10"/>
    <x v="5"/>
    <x v="8"/>
    <x v="8"/>
    <x v="200"/>
    <x v="155"/>
  </r>
  <r>
    <x v="2"/>
    <x v="4"/>
    <x v="4"/>
    <x v="34"/>
    <x v="201"/>
    <x v="156"/>
  </r>
  <r>
    <x v="11"/>
    <x v="0"/>
    <x v="3"/>
    <x v="110"/>
    <x v="202"/>
    <x v="20"/>
  </r>
  <r>
    <x v="12"/>
    <x v="3"/>
    <x v="19"/>
    <x v="13"/>
    <x v="203"/>
    <x v="157"/>
  </r>
  <r>
    <x v="12"/>
    <x v="2"/>
    <x v="11"/>
    <x v="63"/>
    <x v="204"/>
    <x v="158"/>
  </r>
  <r>
    <x v="1"/>
    <x v="0"/>
    <x v="17"/>
    <x v="83"/>
    <x v="205"/>
    <x v="159"/>
  </r>
  <r>
    <x v="3"/>
    <x v="2"/>
    <x v="7"/>
    <x v="9"/>
    <x v="206"/>
    <x v="160"/>
  </r>
  <r>
    <x v="0"/>
    <x v="1"/>
    <x v="6"/>
    <x v="25"/>
    <x v="181"/>
    <x v="48"/>
  </r>
  <r>
    <x v="22"/>
    <x v="4"/>
    <x v="5"/>
    <x v="111"/>
    <x v="207"/>
    <x v="161"/>
  </r>
  <r>
    <x v="8"/>
    <x v="0"/>
    <x v="17"/>
    <x v="38"/>
    <x v="208"/>
    <x v="162"/>
  </r>
  <r>
    <x v="24"/>
    <x v="2"/>
    <x v="21"/>
    <x v="89"/>
    <x v="209"/>
    <x v="100"/>
  </r>
  <r>
    <x v="11"/>
    <x v="0"/>
    <x v="19"/>
    <x v="39"/>
    <x v="210"/>
    <x v="163"/>
  </r>
  <r>
    <x v="16"/>
    <x v="2"/>
    <x v="2"/>
    <x v="112"/>
    <x v="152"/>
    <x v="12"/>
  </r>
  <r>
    <x v="7"/>
    <x v="1"/>
    <x v="16"/>
    <x v="109"/>
    <x v="211"/>
    <x v="164"/>
  </r>
  <r>
    <x v="15"/>
    <x v="0"/>
    <x v="20"/>
    <x v="35"/>
    <x v="212"/>
    <x v="165"/>
  </r>
  <r>
    <x v="13"/>
    <x v="1"/>
    <x v="7"/>
    <x v="19"/>
    <x v="213"/>
    <x v="166"/>
  </r>
  <r>
    <x v="0"/>
    <x v="0"/>
    <x v="21"/>
    <x v="49"/>
    <x v="214"/>
    <x v="167"/>
  </r>
  <r>
    <x v="15"/>
    <x v="2"/>
    <x v="15"/>
    <x v="111"/>
    <x v="215"/>
    <x v="96"/>
  </r>
  <r>
    <x v="22"/>
    <x v="4"/>
    <x v="8"/>
    <x v="113"/>
    <x v="216"/>
    <x v="168"/>
  </r>
  <r>
    <x v="6"/>
    <x v="1"/>
    <x v="8"/>
    <x v="94"/>
    <x v="217"/>
    <x v="169"/>
  </r>
  <r>
    <x v="9"/>
    <x v="3"/>
    <x v="14"/>
    <x v="75"/>
    <x v="218"/>
    <x v="170"/>
  </r>
  <r>
    <x v="15"/>
    <x v="4"/>
    <x v="11"/>
    <x v="52"/>
    <x v="119"/>
    <x v="60"/>
  </r>
  <r>
    <x v="1"/>
    <x v="2"/>
    <x v="11"/>
    <x v="55"/>
    <x v="219"/>
    <x v="102"/>
  </r>
  <r>
    <x v="12"/>
    <x v="5"/>
    <x v="14"/>
    <x v="42"/>
    <x v="64"/>
    <x v="14"/>
  </r>
  <r>
    <x v="23"/>
    <x v="2"/>
    <x v="6"/>
    <x v="65"/>
    <x v="220"/>
    <x v="171"/>
  </r>
  <r>
    <x v="9"/>
    <x v="3"/>
    <x v="10"/>
    <x v="114"/>
    <x v="221"/>
    <x v="172"/>
  </r>
  <r>
    <x v="15"/>
    <x v="4"/>
    <x v="1"/>
    <x v="115"/>
    <x v="222"/>
    <x v="138"/>
  </r>
  <r>
    <x v="22"/>
    <x v="2"/>
    <x v="6"/>
    <x v="90"/>
    <x v="223"/>
    <x v="83"/>
  </r>
  <r>
    <x v="18"/>
    <x v="0"/>
    <x v="9"/>
    <x v="43"/>
    <x v="224"/>
    <x v="53"/>
  </r>
  <r>
    <x v="21"/>
    <x v="1"/>
    <x v="2"/>
    <x v="42"/>
    <x v="225"/>
    <x v="173"/>
  </r>
  <r>
    <x v="14"/>
    <x v="1"/>
    <x v="21"/>
    <x v="25"/>
    <x v="148"/>
    <x v="110"/>
  </r>
  <r>
    <x v="9"/>
    <x v="4"/>
    <x v="15"/>
    <x v="9"/>
    <x v="226"/>
    <x v="109"/>
  </r>
  <r>
    <x v="23"/>
    <x v="0"/>
    <x v="21"/>
    <x v="55"/>
    <x v="20"/>
    <x v="174"/>
  </r>
  <r>
    <x v="5"/>
    <x v="2"/>
    <x v="16"/>
    <x v="6"/>
    <x v="227"/>
    <x v="153"/>
  </r>
  <r>
    <x v="16"/>
    <x v="3"/>
    <x v="12"/>
    <x v="114"/>
    <x v="228"/>
    <x v="175"/>
  </r>
  <r>
    <x v="2"/>
    <x v="4"/>
    <x v="6"/>
    <x v="100"/>
    <x v="229"/>
    <x v="8"/>
  </r>
  <r>
    <x v="12"/>
    <x v="0"/>
    <x v="3"/>
    <x v="116"/>
    <x v="230"/>
    <x v="151"/>
  </r>
  <r>
    <x v="12"/>
    <x v="2"/>
    <x v="19"/>
    <x v="117"/>
    <x v="231"/>
    <x v="176"/>
  </r>
  <r>
    <x v="12"/>
    <x v="1"/>
    <x v="21"/>
    <x v="118"/>
    <x v="232"/>
    <x v="136"/>
  </r>
  <r>
    <x v="0"/>
    <x v="0"/>
    <x v="18"/>
    <x v="119"/>
    <x v="233"/>
    <x v="177"/>
  </r>
  <r>
    <x v="16"/>
    <x v="4"/>
    <x v="6"/>
    <x v="13"/>
    <x v="234"/>
    <x v="103"/>
  </r>
  <r>
    <x v="24"/>
    <x v="4"/>
    <x v="7"/>
    <x v="39"/>
    <x v="90"/>
    <x v="162"/>
  </r>
  <r>
    <x v="5"/>
    <x v="0"/>
    <x v="15"/>
    <x v="19"/>
    <x v="235"/>
    <x v="106"/>
  </r>
  <r>
    <x v="11"/>
    <x v="2"/>
    <x v="3"/>
    <x v="67"/>
    <x v="236"/>
    <x v="178"/>
  </r>
  <r>
    <x v="11"/>
    <x v="1"/>
    <x v="5"/>
    <x v="36"/>
    <x v="237"/>
    <x v="50"/>
  </r>
  <r>
    <x v="24"/>
    <x v="3"/>
    <x v="11"/>
    <x v="120"/>
    <x v="238"/>
    <x v="179"/>
  </r>
  <r>
    <x v="7"/>
    <x v="4"/>
    <x v="13"/>
    <x v="93"/>
    <x v="239"/>
    <x v="81"/>
  </r>
  <r>
    <x v="24"/>
    <x v="1"/>
    <x v="10"/>
    <x v="121"/>
    <x v="240"/>
    <x v="164"/>
  </r>
  <r>
    <x v="9"/>
    <x v="2"/>
    <x v="7"/>
    <x v="66"/>
    <x v="241"/>
    <x v="180"/>
  </r>
  <r>
    <x v="15"/>
    <x v="1"/>
    <x v="21"/>
    <x v="122"/>
    <x v="189"/>
    <x v="21"/>
  </r>
  <r>
    <x v="8"/>
    <x v="3"/>
    <x v="1"/>
    <x v="123"/>
    <x v="185"/>
    <x v="21"/>
  </r>
  <r>
    <x v="22"/>
    <x v="0"/>
    <x v="20"/>
    <x v="35"/>
    <x v="242"/>
    <x v="181"/>
  </r>
  <r>
    <x v="2"/>
    <x v="2"/>
    <x v="9"/>
    <x v="109"/>
    <x v="243"/>
    <x v="182"/>
  </r>
  <r>
    <x v="11"/>
    <x v="5"/>
    <x v="18"/>
    <x v="38"/>
    <x v="237"/>
    <x v="183"/>
  </r>
  <r>
    <x v="24"/>
    <x v="4"/>
    <x v="21"/>
    <x v="29"/>
    <x v="207"/>
    <x v="160"/>
  </r>
  <r>
    <x v="22"/>
    <x v="1"/>
    <x v="10"/>
    <x v="14"/>
    <x v="40"/>
    <x v="5"/>
  </r>
  <r>
    <x v="8"/>
    <x v="4"/>
    <x v="6"/>
    <x v="49"/>
    <x v="244"/>
    <x v="118"/>
  </r>
  <r>
    <x v="17"/>
    <x v="3"/>
    <x v="0"/>
    <x v="16"/>
    <x v="189"/>
    <x v="184"/>
  </r>
  <r>
    <x v="11"/>
    <x v="3"/>
    <x v="3"/>
    <x v="107"/>
    <x v="245"/>
    <x v="107"/>
  </r>
  <r>
    <x v="6"/>
    <x v="5"/>
    <x v="16"/>
    <x v="100"/>
    <x v="40"/>
    <x v="100"/>
  </r>
  <r>
    <x v="12"/>
    <x v="2"/>
    <x v="14"/>
    <x v="19"/>
    <x v="246"/>
    <x v="185"/>
  </r>
  <r>
    <x v="23"/>
    <x v="2"/>
    <x v="8"/>
    <x v="14"/>
    <x v="44"/>
    <x v="186"/>
  </r>
  <r>
    <x v="8"/>
    <x v="0"/>
    <x v="14"/>
    <x v="25"/>
    <x v="24"/>
    <x v="36"/>
  </r>
  <r>
    <x v="12"/>
    <x v="5"/>
    <x v="19"/>
    <x v="124"/>
    <x v="247"/>
    <x v="187"/>
  </r>
  <r>
    <x v="20"/>
    <x v="4"/>
    <x v="14"/>
    <x v="66"/>
    <x v="248"/>
    <x v="108"/>
  </r>
  <r>
    <x v="16"/>
    <x v="5"/>
    <x v="6"/>
    <x v="72"/>
    <x v="249"/>
    <x v="149"/>
  </r>
  <r>
    <x v="10"/>
    <x v="5"/>
    <x v="10"/>
    <x v="42"/>
    <x v="250"/>
    <x v="188"/>
  </r>
  <r>
    <x v="16"/>
    <x v="0"/>
    <x v="2"/>
    <x v="29"/>
    <x v="251"/>
    <x v="189"/>
  </r>
  <r>
    <x v="10"/>
    <x v="4"/>
    <x v="11"/>
    <x v="59"/>
    <x v="238"/>
    <x v="113"/>
  </r>
  <r>
    <x v="10"/>
    <x v="1"/>
    <x v="7"/>
    <x v="19"/>
    <x v="252"/>
    <x v="58"/>
  </r>
  <r>
    <x v="24"/>
    <x v="1"/>
    <x v="3"/>
    <x v="13"/>
    <x v="253"/>
    <x v="45"/>
  </r>
  <r>
    <x v="18"/>
    <x v="3"/>
    <x v="0"/>
    <x v="125"/>
    <x v="254"/>
    <x v="190"/>
  </r>
  <r>
    <x v="18"/>
    <x v="2"/>
    <x v="13"/>
    <x v="26"/>
    <x v="136"/>
    <x v="9"/>
  </r>
  <r>
    <x v="17"/>
    <x v="0"/>
    <x v="2"/>
    <x v="64"/>
    <x v="255"/>
    <x v="191"/>
  </r>
  <r>
    <x v="10"/>
    <x v="2"/>
    <x v="16"/>
    <x v="51"/>
    <x v="256"/>
    <x v="120"/>
  </r>
  <r>
    <x v="17"/>
    <x v="1"/>
    <x v="11"/>
    <x v="126"/>
    <x v="257"/>
    <x v="109"/>
  </r>
  <r>
    <x v="24"/>
    <x v="0"/>
    <x v="0"/>
    <x v="70"/>
    <x v="258"/>
    <x v="192"/>
  </r>
  <r>
    <x v="15"/>
    <x v="2"/>
    <x v="6"/>
    <x v="125"/>
    <x v="259"/>
    <x v="193"/>
  </r>
  <r>
    <x v="3"/>
    <x v="1"/>
    <x v="13"/>
    <x v="116"/>
    <x v="260"/>
    <x v="53"/>
  </r>
  <r>
    <x v="9"/>
    <x v="4"/>
    <x v="1"/>
    <x v="29"/>
    <x v="261"/>
    <x v="73"/>
  </r>
  <r>
    <x v="9"/>
    <x v="4"/>
    <x v="8"/>
    <x v="127"/>
    <x v="262"/>
    <x v="194"/>
  </r>
  <r>
    <x v="17"/>
    <x v="5"/>
    <x v="12"/>
    <x v="50"/>
    <x v="263"/>
    <x v="174"/>
  </r>
  <r>
    <x v="17"/>
    <x v="4"/>
    <x v="13"/>
    <x v="116"/>
    <x v="264"/>
    <x v="195"/>
  </r>
  <r>
    <x v="20"/>
    <x v="4"/>
    <x v="4"/>
    <x v="61"/>
    <x v="265"/>
    <x v="196"/>
  </r>
  <r>
    <x v="23"/>
    <x v="5"/>
    <x v="17"/>
    <x v="13"/>
    <x v="266"/>
    <x v="196"/>
  </r>
  <r>
    <x v="11"/>
    <x v="3"/>
    <x v="11"/>
    <x v="102"/>
    <x v="267"/>
    <x v="34"/>
  </r>
  <r>
    <x v="22"/>
    <x v="2"/>
    <x v="18"/>
    <x v="70"/>
    <x v="268"/>
    <x v="36"/>
  </r>
  <r>
    <x v="20"/>
    <x v="0"/>
    <x v="7"/>
    <x v="1"/>
    <x v="269"/>
    <x v="186"/>
  </r>
  <r>
    <x v="17"/>
    <x v="5"/>
    <x v="8"/>
    <x v="111"/>
    <x v="270"/>
    <x v="121"/>
  </r>
  <r>
    <x v="10"/>
    <x v="1"/>
    <x v="0"/>
    <x v="42"/>
    <x v="271"/>
    <x v="4"/>
  </r>
  <r>
    <x v="8"/>
    <x v="3"/>
    <x v="16"/>
    <x v="10"/>
    <x v="272"/>
    <x v="197"/>
  </r>
  <r>
    <x v="9"/>
    <x v="2"/>
    <x v="1"/>
    <x v="56"/>
    <x v="134"/>
    <x v="198"/>
  </r>
  <r>
    <x v="24"/>
    <x v="5"/>
    <x v="8"/>
    <x v="53"/>
    <x v="273"/>
    <x v="19"/>
  </r>
  <r>
    <x v="2"/>
    <x v="2"/>
    <x v="14"/>
    <x v="29"/>
    <x v="274"/>
    <x v="102"/>
  </r>
  <r>
    <x v="12"/>
    <x v="3"/>
    <x v="1"/>
    <x v="128"/>
    <x v="275"/>
    <x v="108"/>
  </r>
  <r>
    <x v="16"/>
    <x v="4"/>
    <x v="20"/>
    <x v="129"/>
    <x v="276"/>
    <x v="160"/>
  </r>
  <r>
    <x v="9"/>
    <x v="2"/>
    <x v="16"/>
    <x v="1"/>
    <x v="277"/>
    <x v="100"/>
  </r>
  <r>
    <x v="6"/>
    <x v="5"/>
    <x v="1"/>
    <x v="20"/>
    <x v="278"/>
    <x v="199"/>
  </r>
  <r>
    <x v="6"/>
    <x v="2"/>
    <x v="9"/>
    <x v="109"/>
    <x v="120"/>
    <x v="13"/>
  </r>
  <r>
    <x v="23"/>
    <x v="4"/>
    <x v="7"/>
    <x v="37"/>
    <x v="279"/>
    <x v="200"/>
  </r>
  <r>
    <x v="7"/>
    <x v="2"/>
    <x v="6"/>
    <x v="127"/>
    <x v="280"/>
    <x v="91"/>
  </r>
  <r>
    <x v="17"/>
    <x v="1"/>
    <x v="4"/>
    <x v="130"/>
    <x v="19"/>
    <x v="70"/>
  </r>
  <r>
    <x v="14"/>
    <x v="0"/>
    <x v="14"/>
    <x v="131"/>
    <x v="281"/>
    <x v="7"/>
  </r>
  <r>
    <x v="20"/>
    <x v="2"/>
    <x v="5"/>
    <x v="52"/>
    <x v="282"/>
    <x v="201"/>
  </r>
  <r>
    <x v="2"/>
    <x v="0"/>
    <x v="13"/>
    <x v="81"/>
    <x v="283"/>
    <x v="189"/>
  </r>
  <r>
    <x v="5"/>
    <x v="2"/>
    <x v="17"/>
    <x v="103"/>
    <x v="284"/>
    <x v="36"/>
  </r>
  <r>
    <x v="14"/>
    <x v="0"/>
    <x v="13"/>
    <x v="132"/>
    <x v="110"/>
    <x v="128"/>
  </r>
  <r>
    <x v="8"/>
    <x v="5"/>
    <x v="6"/>
    <x v="40"/>
    <x v="285"/>
    <x v="46"/>
  </r>
  <r>
    <x v="14"/>
    <x v="4"/>
    <x v="12"/>
    <x v="36"/>
    <x v="57"/>
    <x v="79"/>
  </r>
  <r>
    <x v="6"/>
    <x v="1"/>
    <x v="16"/>
    <x v="10"/>
    <x v="286"/>
    <x v="202"/>
  </r>
  <r>
    <x v="4"/>
    <x v="3"/>
    <x v="3"/>
    <x v="2"/>
    <x v="287"/>
    <x v="203"/>
  </r>
  <r>
    <x v="3"/>
    <x v="1"/>
    <x v="1"/>
    <x v="63"/>
    <x v="288"/>
    <x v="133"/>
  </r>
  <r>
    <x v="11"/>
    <x v="1"/>
    <x v="13"/>
    <x v="100"/>
    <x v="21"/>
    <x v="28"/>
  </r>
  <r>
    <x v="19"/>
    <x v="3"/>
    <x v="6"/>
    <x v="52"/>
    <x v="289"/>
    <x v="132"/>
  </r>
  <r>
    <x v="5"/>
    <x v="5"/>
    <x v="17"/>
    <x v="130"/>
    <x v="268"/>
    <x v="179"/>
  </r>
  <r>
    <x v="20"/>
    <x v="4"/>
    <x v="9"/>
    <x v="68"/>
    <x v="189"/>
    <x v="44"/>
  </r>
  <r>
    <x v="1"/>
    <x v="5"/>
    <x v="14"/>
    <x v="127"/>
    <x v="290"/>
    <x v="186"/>
  </r>
  <r>
    <x v="7"/>
    <x v="4"/>
    <x v="19"/>
    <x v="133"/>
    <x v="291"/>
    <x v="204"/>
  </r>
  <r>
    <x v="1"/>
    <x v="2"/>
    <x v="20"/>
    <x v="134"/>
    <x v="292"/>
    <x v="8"/>
  </r>
  <r>
    <x v="24"/>
    <x v="3"/>
    <x v="2"/>
    <x v="72"/>
    <x v="293"/>
    <x v="205"/>
  </r>
  <r>
    <x v="20"/>
    <x v="5"/>
    <x v="11"/>
    <x v="2"/>
    <x v="294"/>
    <x v="206"/>
  </r>
  <r>
    <x v="17"/>
    <x v="5"/>
    <x v="18"/>
    <x v="10"/>
    <x v="295"/>
    <x v="105"/>
  </r>
  <r>
    <x v="14"/>
    <x v="2"/>
    <x v="16"/>
    <x v="57"/>
    <x v="260"/>
    <x v="207"/>
  </r>
  <r>
    <x v="22"/>
    <x v="2"/>
    <x v="1"/>
    <x v="86"/>
    <x v="296"/>
    <x v="208"/>
  </r>
  <r>
    <x v="2"/>
    <x v="0"/>
    <x v="6"/>
    <x v="135"/>
    <x v="297"/>
    <x v="162"/>
  </r>
  <r>
    <x v="24"/>
    <x v="0"/>
    <x v="15"/>
    <x v="21"/>
    <x v="88"/>
    <x v="209"/>
  </r>
  <r>
    <x v="2"/>
    <x v="0"/>
    <x v="21"/>
    <x v="136"/>
    <x v="298"/>
    <x v="125"/>
  </r>
  <r>
    <x v="0"/>
    <x v="2"/>
    <x v="2"/>
    <x v="132"/>
    <x v="299"/>
    <x v="5"/>
  </r>
  <r>
    <x v="11"/>
    <x v="1"/>
    <x v="8"/>
    <x v="10"/>
    <x v="181"/>
    <x v="109"/>
  </r>
  <r>
    <x v="14"/>
    <x v="5"/>
    <x v="13"/>
    <x v="92"/>
    <x v="300"/>
    <x v="210"/>
  </r>
  <r>
    <x v="16"/>
    <x v="0"/>
    <x v="3"/>
    <x v="18"/>
    <x v="301"/>
    <x v="211"/>
  </r>
  <r>
    <x v="10"/>
    <x v="5"/>
    <x v="12"/>
    <x v="73"/>
    <x v="262"/>
    <x v="99"/>
  </r>
  <r>
    <x v="20"/>
    <x v="4"/>
    <x v="10"/>
    <x v="129"/>
    <x v="302"/>
    <x v="212"/>
  </r>
  <r>
    <x v="14"/>
    <x v="1"/>
    <x v="12"/>
    <x v="55"/>
    <x v="242"/>
    <x v="154"/>
  </r>
  <r>
    <x v="13"/>
    <x v="1"/>
    <x v="5"/>
    <x v="137"/>
    <x v="303"/>
    <x v="27"/>
  </r>
  <r>
    <x v="21"/>
    <x v="2"/>
    <x v="20"/>
    <x v="138"/>
    <x v="304"/>
    <x v="39"/>
  </r>
  <r>
    <x v="14"/>
    <x v="2"/>
    <x v="4"/>
    <x v="101"/>
    <x v="305"/>
    <x v="147"/>
  </r>
  <r>
    <x v="9"/>
    <x v="0"/>
    <x v="6"/>
    <x v="84"/>
    <x v="306"/>
    <x v="164"/>
  </r>
  <r>
    <x v="24"/>
    <x v="5"/>
    <x v="19"/>
    <x v="139"/>
    <x v="307"/>
    <x v="213"/>
  </r>
  <r>
    <x v="1"/>
    <x v="0"/>
    <x v="9"/>
    <x v="92"/>
    <x v="308"/>
    <x v="128"/>
  </r>
  <r>
    <x v="5"/>
    <x v="5"/>
    <x v="13"/>
    <x v="7"/>
    <x v="309"/>
    <x v="214"/>
  </r>
  <r>
    <x v="5"/>
    <x v="3"/>
    <x v="12"/>
    <x v="44"/>
    <x v="310"/>
    <x v="215"/>
  </r>
  <r>
    <x v="5"/>
    <x v="2"/>
    <x v="9"/>
    <x v="102"/>
    <x v="311"/>
    <x v="210"/>
  </r>
  <r>
    <x v="10"/>
    <x v="3"/>
    <x v="13"/>
    <x v="64"/>
    <x v="312"/>
    <x v="48"/>
  </r>
  <r>
    <x v="17"/>
    <x v="3"/>
    <x v="9"/>
    <x v="124"/>
    <x v="313"/>
    <x v="216"/>
  </r>
  <r>
    <x v="0"/>
    <x v="1"/>
    <x v="4"/>
    <x v="75"/>
    <x v="314"/>
    <x v="190"/>
  </r>
  <r>
    <x v="23"/>
    <x v="2"/>
    <x v="0"/>
    <x v="1"/>
    <x v="14"/>
    <x v="217"/>
  </r>
  <r>
    <x v="13"/>
    <x v="2"/>
    <x v="0"/>
    <x v="140"/>
    <x v="315"/>
    <x v="171"/>
  </r>
  <r>
    <x v="22"/>
    <x v="3"/>
    <x v="17"/>
    <x v="43"/>
    <x v="316"/>
    <x v="218"/>
  </r>
  <r>
    <x v="23"/>
    <x v="3"/>
    <x v="18"/>
    <x v="0"/>
    <x v="317"/>
    <x v="77"/>
  </r>
  <r>
    <x v="13"/>
    <x v="3"/>
    <x v="6"/>
    <x v="122"/>
    <x v="318"/>
    <x v="219"/>
  </r>
  <r>
    <x v="7"/>
    <x v="1"/>
    <x v="3"/>
    <x v="141"/>
    <x v="319"/>
    <x v="125"/>
  </r>
  <r>
    <x v="15"/>
    <x v="0"/>
    <x v="14"/>
    <x v="10"/>
    <x v="320"/>
    <x v="181"/>
  </r>
  <r>
    <x v="13"/>
    <x v="2"/>
    <x v="16"/>
    <x v="132"/>
    <x v="122"/>
    <x v="220"/>
  </r>
  <r>
    <x v="1"/>
    <x v="4"/>
    <x v="20"/>
    <x v="15"/>
    <x v="321"/>
    <x v="69"/>
  </r>
  <r>
    <x v="21"/>
    <x v="2"/>
    <x v="4"/>
    <x v="93"/>
    <x v="322"/>
    <x v="90"/>
  </r>
  <r>
    <x v="16"/>
    <x v="1"/>
    <x v="11"/>
    <x v="138"/>
    <x v="323"/>
    <x v="2"/>
  </r>
  <r>
    <x v="24"/>
    <x v="2"/>
    <x v="3"/>
    <x v="45"/>
    <x v="267"/>
    <x v="138"/>
  </r>
  <r>
    <x v="9"/>
    <x v="4"/>
    <x v="16"/>
    <x v="82"/>
    <x v="324"/>
    <x v="221"/>
  </r>
  <r>
    <x v="16"/>
    <x v="5"/>
    <x v="4"/>
    <x v="132"/>
    <x v="325"/>
    <x v="222"/>
  </r>
  <r>
    <x v="4"/>
    <x v="0"/>
    <x v="5"/>
    <x v="135"/>
    <x v="326"/>
    <x v="130"/>
  </r>
  <r>
    <x v="5"/>
    <x v="0"/>
    <x v="8"/>
    <x v="100"/>
    <x v="327"/>
    <x v="223"/>
  </r>
  <r>
    <x v="23"/>
    <x v="4"/>
    <x v="20"/>
    <x v="35"/>
    <x v="328"/>
    <x v="151"/>
  </r>
  <r>
    <x v="3"/>
    <x v="1"/>
    <x v="2"/>
    <x v="0"/>
    <x v="329"/>
    <x v="124"/>
  </r>
  <r>
    <x v="15"/>
    <x v="2"/>
    <x v="8"/>
    <x v="9"/>
    <x v="330"/>
    <x v="86"/>
  </r>
  <r>
    <x v="12"/>
    <x v="4"/>
    <x v="3"/>
    <x v="7"/>
    <x v="311"/>
    <x v="224"/>
  </r>
  <r>
    <x v="21"/>
    <x v="2"/>
    <x v="15"/>
    <x v="103"/>
    <x v="331"/>
    <x v="225"/>
  </r>
  <r>
    <x v="4"/>
    <x v="2"/>
    <x v="16"/>
    <x v="142"/>
    <x v="332"/>
    <x v="226"/>
  </r>
  <r>
    <x v="3"/>
    <x v="4"/>
    <x v="7"/>
    <x v="28"/>
    <x v="333"/>
    <x v="136"/>
  </r>
  <r>
    <x v="2"/>
    <x v="4"/>
    <x v="13"/>
    <x v="27"/>
    <x v="334"/>
    <x v="27"/>
  </r>
  <r>
    <x v="9"/>
    <x v="0"/>
    <x v="11"/>
    <x v="53"/>
    <x v="335"/>
    <x v="227"/>
  </r>
  <r>
    <x v="14"/>
    <x v="4"/>
    <x v="17"/>
    <x v="111"/>
    <x v="336"/>
    <x v="182"/>
  </r>
  <r>
    <x v="11"/>
    <x v="5"/>
    <x v="11"/>
    <x v="143"/>
    <x v="337"/>
    <x v="228"/>
  </r>
  <r>
    <x v="6"/>
    <x v="1"/>
    <x v="20"/>
    <x v="75"/>
    <x v="281"/>
    <x v="149"/>
  </r>
  <r>
    <x v="5"/>
    <x v="4"/>
    <x v="8"/>
    <x v="144"/>
    <x v="282"/>
    <x v="16"/>
  </r>
  <r>
    <x v="13"/>
    <x v="4"/>
    <x v="13"/>
    <x v="107"/>
    <x v="338"/>
    <x v="51"/>
  </r>
  <r>
    <x v="5"/>
    <x v="1"/>
    <x v="6"/>
    <x v="145"/>
    <x v="339"/>
    <x v="49"/>
  </r>
  <r>
    <x v="18"/>
    <x v="3"/>
    <x v="15"/>
    <x v="36"/>
    <x v="340"/>
    <x v="229"/>
  </r>
  <r>
    <x v="16"/>
    <x v="0"/>
    <x v="15"/>
    <x v="102"/>
    <x v="341"/>
    <x v="105"/>
  </r>
  <r>
    <x v="1"/>
    <x v="5"/>
    <x v="15"/>
    <x v="4"/>
    <x v="342"/>
    <x v="106"/>
  </r>
  <r>
    <x v="18"/>
    <x v="3"/>
    <x v="16"/>
    <x v="111"/>
    <x v="343"/>
    <x v="157"/>
  </r>
  <r>
    <x v="4"/>
    <x v="3"/>
    <x v="19"/>
    <x v="91"/>
    <x v="344"/>
    <x v="99"/>
  </r>
  <r>
    <x v="17"/>
    <x v="2"/>
    <x v="10"/>
    <x v="146"/>
    <x v="345"/>
    <x v="137"/>
  </r>
  <r>
    <x v="11"/>
    <x v="2"/>
    <x v="12"/>
    <x v="130"/>
    <x v="346"/>
    <x v="180"/>
  </r>
  <r>
    <x v="12"/>
    <x v="5"/>
    <x v="3"/>
    <x v="23"/>
    <x v="347"/>
    <x v="139"/>
  </r>
  <r>
    <x v="6"/>
    <x v="4"/>
    <x v="10"/>
    <x v="63"/>
    <x v="348"/>
    <x v="93"/>
  </r>
  <r>
    <x v="13"/>
    <x v="3"/>
    <x v="19"/>
    <x v="105"/>
    <x v="349"/>
    <x v="230"/>
  </r>
  <r>
    <x v="1"/>
    <x v="0"/>
    <x v="1"/>
    <x v="36"/>
    <x v="350"/>
    <x v="154"/>
  </r>
  <r>
    <x v="11"/>
    <x v="5"/>
    <x v="12"/>
    <x v="67"/>
    <x v="351"/>
    <x v="231"/>
  </r>
  <r>
    <x v="7"/>
    <x v="3"/>
    <x v="21"/>
    <x v="32"/>
    <x v="352"/>
    <x v="232"/>
  </r>
  <r>
    <x v="12"/>
    <x v="4"/>
    <x v="6"/>
    <x v="12"/>
    <x v="353"/>
    <x v="224"/>
  </r>
  <r>
    <x v="6"/>
    <x v="4"/>
    <x v="0"/>
    <x v="63"/>
    <x v="354"/>
    <x v="31"/>
  </r>
  <r>
    <x v="10"/>
    <x v="3"/>
    <x v="8"/>
    <x v="141"/>
    <x v="355"/>
    <x v="233"/>
  </r>
  <r>
    <x v="8"/>
    <x v="1"/>
    <x v="9"/>
    <x v="82"/>
    <x v="356"/>
    <x v="42"/>
  </r>
  <r>
    <x v="11"/>
    <x v="0"/>
    <x v="7"/>
    <x v="5"/>
    <x v="357"/>
    <x v="129"/>
  </r>
  <r>
    <x v="6"/>
    <x v="3"/>
    <x v="19"/>
    <x v="97"/>
    <x v="358"/>
    <x v="51"/>
  </r>
  <r>
    <x v="24"/>
    <x v="5"/>
    <x v="12"/>
    <x v="147"/>
    <x v="359"/>
    <x v="215"/>
  </r>
  <r>
    <x v="6"/>
    <x v="4"/>
    <x v="7"/>
    <x v="82"/>
    <x v="360"/>
    <x v="234"/>
  </r>
  <r>
    <x v="16"/>
    <x v="1"/>
    <x v="12"/>
    <x v="148"/>
    <x v="361"/>
    <x v="68"/>
  </r>
  <r>
    <x v="9"/>
    <x v="4"/>
    <x v="6"/>
    <x v="41"/>
    <x v="362"/>
    <x v="235"/>
  </r>
  <r>
    <x v="9"/>
    <x v="0"/>
    <x v="0"/>
    <x v="28"/>
    <x v="363"/>
    <x v="236"/>
  </r>
  <r>
    <x v="12"/>
    <x v="1"/>
    <x v="18"/>
    <x v="4"/>
    <x v="350"/>
    <x v="237"/>
  </r>
  <r>
    <x v="22"/>
    <x v="0"/>
    <x v="3"/>
    <x v="72"/>
    <x v="364"/>
    <x v="147"/>
  </r>
  <r>
    <x v="2"/>
    <x v="1"/>
    <x v="8"/>
    <x v="136"/>
    <x v="365"/>
    <x v="238"/>
  </r>
  <r>
    <x v="7"/>
    <x v="2"/>
    <x v="10"/>
    <x v="14"/>
    <x v="366"/>
    <x v="239"/>
  </r>
  <r>
    <x v="4"/>
    <x v="3"/>
    <x v="14"/>
    <x v="39"/>
    <x v="149"/>
    <x v="91"/>
  </r>
  <r>
    <x v="19"/>
    <x v="0"/>
    <x v="9"/>
    <x v="123"/>
    <x v="367"/>
    <x v="81"/>
  </r>
  <r>
    <x v="20"/>
    <x v="1"/>
    <x v="11"/>
    <x v="35"/>
    <x v="368"/>
    <x v="200"/>
  </r>
  <r>
    <x v="10"/>
    <x v="3"/>
    <x v="20"/>
    <x v="60"/>
    <x v="99"/>
    <x v="54"/>
  </r>
  <r>
    <x v="19"/>
    <x v="3"/>
    <x v="10"/>
    <x v="72"/>
    <x v="369"/>
    <x v="240"/>
  </r>
  <r>
    <x v="8"/>
    <x v="3"/>
    <x v="5"/>
    <x v="41"/>
    <x v="370"/>
    <x v="147"/>
  </r>
  <r>
    <x v="12"/>
    <x v="0"/>
    <x v="16"/>
    <x v="45"/>
    <x v="371"/>
    <x v="149"/>
  </r>
  <r>
    <x v="4"/>
    <x v="2"/>
    <x v="17"/>
    <x v="20"/>
    <x v="162"/>
    <x v="241"/>
  </r>
  <r>
    <x v="17"/>
    <x v="4"/>
    <x v="17"/>
    <x v="93"/>
    <x v="372"/>
    <x v="242"/>
  </r>
  <r>
    <x v="13"/>
    <x v="5"/>
    <x v="7"/>
    <x v="24"/>
    <x v="373"/>
    <x v="243"/>
  </r>
  <r>
    <x v="9"/>
    <x v="5"/>
    <x v="7"/>
    <x v="85"/>
    <x v="350"/>
    <x v="124"/>
  </r>
  <r>
    <x v="22"/>
    <x v="3"/>
    <x v="20"/>
    <x v="131"/>
    <x v="289"/>
    <x v="28"/>
  </r>
  <r>
    <x v="9"/>
    <x v="1"/>
    <x v="9"/>
    <x v="66"/>
    <x v="374"/>
    <x v="42"/>
  </r>
  <r>
    <x v="24"/>
    <x v="0"/>
    <x v="14"/>
    <x v="67"/>
    <x v="173"/>
    <x v="244"/>
  </r>
  <r>
    <x v="24"/>
    <x v="4"/>
    <x v="14"/>
    <x v="58"/>
    <x v="375"/>
    <x v="245"/>
  </r>
  <r>
    <x v="17"/>
    <x v="3"/>
    <x v="7"/>
    <x v="83"/>
    <x v="207"/>
    <x v="17"/>
  </r>
  <r>
    <x v="23"/>
    <x v="1"/>
    <x v="14"/>
    <x v="88"/>
    <x v="376"/>
    <x v="246"/>
  </r>
  <r>
    <x v="2"/>
    <x v="1"/>
    <x v="15"/>
    <x v="65"/>
    <x v="369"/>
    <x v="7"/>
  </r>
  <r>
    <x v="1"/>
    <x v="1"/>
    <x v="12"/>
    <x v="149"/>
    <x v="377"/>
    <x v="247"/>
  </r>
  <r>
    <x v="3"/>
    <x v="3"/>
    <x v="0"/>
    <x v="30"/>
    <x v="378"/>
    <x v="248"/>
  </r>
  <r>
    <x v="23"/>
    <x v="3"/>
    <x v="14"/>
    <x v="26"/>
    <x v="379"/>
    <x v="203"/>
  </r>
  <r>
    <x v="7"/>
    <x v="5"/>
    <x v="20"/>
    <x v="1"/>
    <x v="380"/>
    <x v="90"/>
  </r>
  <r>
    <x v="16"/>
    <x v="4"/>
    <x v="11"/>
    <x v="26"/>
    <x v="381"/>
    <x v="204"/>
  </r>
  <r>
    <x v="6"/>
    <x v="1"/>
    <x v="5"/>
    <x v="86"/>
    <x v="382"/>
    <x v="121"/>
  </r>
  <r>
    <x v="4"/>
    <x v="3"/>
    <x v="17"/>
    <x v="110"/>
    <x v="383"/>
    <x v="249"/>
  </r>
  <r>
    <x v="17"/>
    <x v="4"/>
    <x v="9"/>
    <x v="146"/>
    <x v="384"/>
    <x v="93"/>
  </r>
  <r>
    <x v="4"/>
    <x v="1"/>
    <x v="8"/>
    <x v="74"/>
    <x v="135"/>
    <x v="250"/>
  </r>
  <r>
    <x v="24"/>
    <x v="3"/>
    <x v="10"/>
    <x v="42"/>
    <x v="385"/>
    <x v="243"/>
  </r>
  <r>
    <x v="2"/>
    <x v="0"/>
    <x v="19"/>
    <x v="45"/>
    <x v="386"/>
    <x v="222"/>
  </r>
  <r>
    <x v="3"/>
    <x v="2"/>
    <x v="6"/>
    <x v="107"/>
    <x v="387"/>
    <x v="251"/>
  </r>
  <r>
    <x v="12"/>
    <x v="2"/>
    <x v="3"/>
    <x v="6"/>
    <x v="388"/>
    <x v="252"/>
  </r>
  <r>
    <x v="24"/>
    <x v="4"/>
    <x v="10"/>
    <x v="12"/>
    <x v="389"/>
    <x v="37"/>
  </r>
  <r>
    <x v="6"/>
    <x v="5"/>
    <x v="0"/>
    <x v="82"/>
    <x v="390"/>
    <x v="124"/>
  </r>
  <r>
    <x v="16"/>
    <x v="0"/>
    <x v="7"/>
    <x v="28"/>
    <x v="391"/>
    <x v="253"/>
  </r>
  <r>
    <x v="10"/>
    <x v="2"/>
    <x v="21"/>
    <x v="132"/>
    <x v="392"/>
    <x v="254"/>
  </r>
  <r>
    <x v="5"/>
    <x v="5"/>
    <x v="0"/>
    <x v="114"/>
    <x v="393"/>
    <x v="255"/>
  </r>
  <r>
    <x v="13"/>
    <x v="4"/>
    <x v="2"/>
    <x v="75"/>
    <x v="362"/>
    <x v="68"/>
  </r>
  <r>
    <x v="14"/>
    <x v="5"/>
    <x v="3"/>
    <x v="1"/>
    <x v="394"/>
    <x v="129"/>
  </r>
  <r>
    <x v="4"/>
    <x v="2"/>
    <x v="11"/>
    <x v="136"/>
    <x v="23"/>
    <x v="256"/>
  </r>
  <r>
    <x v="21"/>
    <x v="3"/>
    <x v="12"/>
    <x v="6"/>
    <x v="395"/>
    <x v="51"/>
  </r>
  <r>
    <x v="2"/>
    <x v="0"/>
    <x v="11"/>
    <x v="134"/>
    <x v="396"/>
    <x v="257"/>
  </r>
  <r>
    <x v="19"/>
    <x v="2"/>
    <x v="1"/>
    <x v="62"/>
    <x v="397"/>
    <x v="143"/>
  </r>
  <r>
    <x v="21"/>
    <x v="2"/>
    <x v="3"/>
    <x v="150"/>
    <x v="398"/>
    <x v="105"/>
  </r>
  <r>
    <x v="13"/>
    <x v="1"/>
    <x v="20"/>
    <x v="21"/>
    <x v="153"/>
    <x v="258"/>
  </r>
  <r>
    <x v="10"/>
    <x v="4"/>
    <x v="9"/>
    <x v="28"/>
    <x v="399"/>
    <x v="226"/>
  </r>
  <r>
    <x v="19"/>
    <x v="5"/>
    <x v="10"/>
    <x v="0"/>
    <x v="400"/>
    <x v="259"/>
  </r>
  <r>
    <x v="0"/>
    <x v="2"/>
    <x v="9"/>
    <x v="102"/>
    <x v="401"/>
    <x v="81"/>
  </r>
  <r>
    <x v="10"/>
    <x v="4"/>
    <x v="0"/>
    <x v="142"/>
    <x v="402"/>
    <x v="198"/>
  </r>
  <r>
    <x v="14"/>
    <x v="3"/>
    <x v="12"/>
    <x v="53"/>
    <x v="403"/>
    <x v="260"/>
  </r>
  <r>
    <x v="22"/>
    <x v="4"/>
    <x v="14"/>
    <x v="116"/>
    <x v="404"/>
    <x v="261"/>
  </r>
  <r>
    <x v="19"/>
    <x v="4"/>
    <x v="12"/>
    <x v="123"/>
    <x v="405"/>
    <x v="262"/>
  </r>
  <r>
    <x v="8"/>
    <x v="3"/>
    <x v="13"/>
    <x v="151"/>
    <x v="164"/>
    <x v="234"/>
  </r>
  <r>
    <x v="4"/>
    <x v="5"/>
    <x v="10"/>
    <x v="25"/>
    <x v="283"/>
    <x v="220"/>
  </r>
  <r>
    <x v="22"/>
    <x v="0"/>
    <x v="10"/>
    <x v="129"/>
    <x v="406"/>
    <x v="22"/>
  </r>
  <r>
    <x v="23"/>
    <x v="4"/>
    <x v="0"/>
    <x v="84"/>
    <x v="407"/>
    <x v="263"/>
  </r>
  <r>
    <x v="20"/>
    <x v="4"/>
    <x v="7"/>
    <x v="152"/>
    <x v="279"/>
    <x v="93"/>
  </r>
  <r>
    <x v="2"/>
    <x v="2"/>
    <x v="20"/>
    <x v="51"/>
    <x v="80"/>
    <x v="28"/>
  </r>
  <r>
    <x v="9"/>
    <x v="1"/>
    <x v="6"/>
    <x v="106"/>
    <x v="408"/>
    <x v="182"/>
  </r>
  <r>
    <x v="1"/>
    <x v="3"/>
    <x v="0"/>
    <x v="19"/>
    <x v="409"/>
    <x v="61"/>
  </r>
  <r>
    <x v="1"/>
    <x v="1"/>
    <x v="6"/>
    <x v="110"/>
    <x v="133"/>
    <x v="264"/>
  </r>
  <r>
    <x v="1"/>
    <x v="4"/>
    <x v="15"/>
    <x v="106"/>
    <x v="311"/>
    <x v="9"/>
  </r>
  <r>
    <x v="18"/>
    <x v="4"/>
    <x v="7"/>
    <x v="23"/>
    <x v="410"/>
    <x v="175"/>
  </r>
  <r>
    <x v="8"/>
    <x v="3"/>
    <x v="8"/>
    <x v="71"/>
    <x v="411"/>
    <x v="86"/>
  </r>
  <r>
    <x v="2"/>
    <x v="4"/>
    <x v="5"/>
    <x v="102"/>
    <x v="117"/>
    <x v="54"/>
  </r>
  <r>
    <x v="8"/>
    <x v="3"/>
    <x v="0"/>
    <x v="84"/>
    <x v="412"/>
    <x v="181"/>
  </r>
  <r>
    <x v="17"/>
    <x v="5"/>
    <x v="1"/>
    <x v="1"/>
    <x v="413"/>
    <x v="114"/>
  </r>
  <r>
    <x v="12"/>
    <x v="3"/>
    <x v="3"/>
    <x v="33"/>
    <x v="414"/>
    <x v="8"/>
  </r>
  <r>
    <x v="15"/>
    <x v="4"/>
    <x v="14"/>
    <x v="57"/>
    <x v="62"/>
    <x v="203"/>
  </r>
  <r>
    <x v="19"/>
    <x v="2"/>
    <x v="2"/>
    <x v="8"/>
    <x v="415"/>
    <x v="265"/>
  </r>
  <r>
    <x v="17"/>
    <x v="1"/>
    <x v="1"/>
    <x v="30"/>
    <x v="416"/>
    <x v="108"/>
  </r>
  <r>
    <x v="14"/>
    <x v="0"/>
    <x v="6"/>
    <x v="121"/>
    <x v="289"/>
    <x v="42"/>
  </r>
  <r>
    <x v="5"/>
    <x v="4"/>
    <x v="13"/>
    <x v="87"/>
    <x v="417"/>
    <x v="266"/>
  </r>
  <r>
    <x v="4"/>
    <x v="5"/>
    <x v="17"/>
    <x v="86"/>
    <x v="418"/>
    <x v="267"/>
  </r>
  <r>
    <x v="2"/>
    <x v="0"/>
    <x v="9"/>
    <x v="30"/>
    <x v="419"/>
    <x v="16"/>
  </r>
  <r>
    <x v="20"/>
    <x v="1"/>
    <x v="0"/>
    <x v="12"/>
    <x v="420"/>
    <x v="241"/>
  </r>
  <r>
    <x v="10"/>
    <x v="5"/>
    <x v="2"/>
    <x v="153"/>
    <x v="421"/>
    <x v="141"/>
  </r>
  <r>
    <x v="8"/>
    <x v="0"/>
    <x v="0"/>
    <x v="2"/>
    <x v="340"/>
    <x v="268"/>
  </r>
  <r>
    <x v="8"/>
    <x v="4"/>
    <x v="1"/>
    <x v="74"/>
    <x v="422"/>
    <x v="99"/>
  </r>
  <r>
    <x v="15"/>
    <x v="5"/>
    <x v="8"/>
    <x v="154"/>
    <x v="423"/>
    <x v="143"/>
  </r>
  <r>
    <x v="3"/>
    <x v="2"/>
    <x v="21"/>
    <x v="72"/>
    <x v="424"/>
    <x v="269"/>
  </r>
  <r>
    <x v="11"/>
    <x v="3"/>
    <x v="13"/>
    <x v="74"/>
    <x v="425"/>
    <x v="247"/>
  </r>
  <r>
    <x v="24"/>
    <x v="0"/>
    <x v="2"/>
    <x v="35"/>
    <x v="426"/>
    <x v="270"/>
  </r>
  <r>
    <x v="16"/>
    <x v="4"/>
    <x v="10"/>
    <x v="54"/>
    <x v="427"/>
    <x v="108"/>
  </r>
  <r>
    <x v="21"/>
    <x v="4"/>
    <x v="17"/>
    <x v="98"/>
    <x v="428"/>
    <x v="45"/>
  </r>
  <r>
    <x v="6"/>
    <x v="3"/>
    <x v="15"/>
    <x v="107"/>
    <x v="429"/>
    <x v="16"/>
  </r>
  <r>
    <x v="0"/>
    <x v="3"/>
    <x v="5"/>
    <x v="49"/>
    <x v="430"/>
    <x v="7"/>
  </r>
  <r>
    <x v="0"/>
    <x v="4"/>
    <x v="3"/>
    <x v="2"/>
    <x v="431"/>
    <x v="163"/>
  </r>
  <r>
    <x v="22"/>
    <x v="1"/>
    <x v="0"/>
    <x v="32"/>
    <x v="432"/>
    <x v="271"/>
  </r>
  <r>
    <x v="0"/>
    <x v="1"/>
    <x v="8"/>
    <x v="4"/>
    <x v="433"/>
    <x v="197"/>
  </r>
  <r>
    <x v="10"/>
    <x v="5"/>
    <x v="17"/>
    <x v="122"/>
    <x v="434"/>
    <x v="272"/>
  </r>
  <r>
    <x v="16"/>
    <x v="2"/>
    <x v="21"/>
    <x v="143"/>
    <x v="435"/>
    <x v="226"/>
  </r>
  <r>
    <x v="13"/>
    <x v="0"/>
    <x v="21"/>
    <x v="7"/>
    <x v="436"/>
    <x v="227"/>
  </r>
  <r>
    <x v="7"/>
    <x v="4"/>
    <x v="9"/>
    <x v="55"/>
    <x v="437"/>
    <x v="7"/>
  </r>
  <r>
    <x v="9"/>
    <x v="5"/>
    <x v="15"/>
    <x v="66"/>
    <x v="438"/>
    <x v="27"/>
  </r>
  <r>
    <x v="16"/>
    <x v="2"/>
    <x v="13"/>
    <x v="55"/>
    <x v="439"/>
    <x v="243"/>
  </r>
  <r>
    <x v="4"/>
    <x v="3"/>
    <x v="10"/>
    <x v="20"/>
    <x v="440"/>
    <x v="78"/>
  </r>
  <r>
    <x v="22"/>
    <x v="0"/>
    <x v="4"/>
    <x v="14"/>
    <x v="295"/>
    <x v="121"/>
  </r>
  <r>
    <x v="22"/>
    <x v="2"/>
    <x v="0"/>
    <x v="138"/>
    <x v="441"/>
    <x v="273"/>
  </r>
  <r>
    <x v="14"/>
    <x v="5"/>
    <x v="4"/>
    <x v="2"/>
    <x v="163"/>
    <x v="113"/>
  </r>
  <r>
    <x v="7"/>
    <x v="2"/>
    <x v="19"/>
    <x v="38"/>
    <x v="442"/>
    <x v="194"/>
  </r>
  <r>
    <x v="10"/>
    <x v="2"/>
    <x v="5"/>
    <x v="155"/>
    <x v="443"/>
    <x v="274"/>
  </r>
  <r>
    <x v="11"/>
    <x v="0"/>
    <x v="4"/>
    <x v="10"/>
    <x v="172"/>
    <x v="275"/>
  </r>
  <r>
    <x v="5"/>
    <x v="2"/>
    <x v="6"/>
    <x v="52"/>
    <x v="444"/>
    <x v="131"/>
  </r>
  <r>
    <x v="11"/>
    <x v="2"/>
    <x v="18"/>
    <x v="109"/>
    <x v="445"/>
    <x v="137"/>
  </r>
  <r>
    <x v="20"/>
    <x v="3"/>
    <x v="9"/>
    <x v="11"/>
    <x v="446"/>
    <x v="80"/>
  </r>
  <r>
    <x v="12"/>
    <x v="4"/>
    <x v="1"/>
    <x v="62"/>
    <x v="447"/>
    <x v="276"/>
  </r>
  <r>
    <x v="13"/>
    <x v="4"/>
    <x v="8"/>
    <x v="91"/>
    <x v="7"/>
    <x v="277"/>
  </r>
  <r>
    <x v="17"/>
    <x v="0"/>
    <x v="11"/>
    <x v="66"/>
    <x v="448"/>
    <x v="278"/>
  </r>
  <r>
    <x v="18"/>
    <x v="0"/>
    <x v="10"/>
    <x v="97"/>
    <x v="449"/>
    <x v="193"/>
  </r>
  <r>
    <x v="22"/>
    <x v="4"/>
    <x v="7"/>
    <x v="45"/>
    <x v="450"/>
    <x v="93"/>
  </r>
  <r>
    <x v="5"/>
    <x v="1"/>
    <x v="3"/>
    <x v="52"/>
    <x v="227"/>
    <x v="33"/>
  </r>
  <r>
    <x v="11"/>
    <x v="3"/>
    <x v="1"/>
    <x v="21"/>
    <x v="312"/>
    <x v="58"/>
  </r>
  <r>
    <x v="11"/>
    <x v="0"/>
    <x v="15"/>
    <x v="39"/>
    <x v="451"/>
    <x v="50"/>
  </r>
  <r>
    <x v="6"/>
    <x v="4"/>
    <x v="4"/>
    <x v="90"/>
    <x v="452"/>
    <x v="279"/>
  </r>
  <r>
    <x v="12"/>
    <x v="3"/>
    <x v="0"/>
    <x v="133"/>
    <x v="149"/>
    <x v="82"/>
  </r>
  <r>
    <x v="17"/>
    <x v="4"/>
    <x v="11"/>
    <x v="65"/>
    <x v="453"/>
    <x v="203"/>
  </r>
  <r>
    <x v="5"/>
    <x v="4"/>
    <x v="9"/>
    <x v="122"/>
    <x v="454"/>
    <x v="262"/>
  </r>
  <r>
    <x v="6"/>
    <x v="5"/>
    <x v="15"/>
    <x v="145"/>
    <x v="455"/>
    <x v="251"/>
  </r>
  <r>
    <x v="1"/>
    <x v="1"/>
    <x v="18"/>
    <x v="100"/>
    <x v="317"/>
    <x v="280"/>
  </r>
  <r>
    <x v="19"/>
    <x v="4"/>
    <x v="20"/>
    <x v="138"/>
    <x v="456"/>
    <x v="106"/>
  </r>
  <r>
    <x v="23"/>
    <x v="4"/>
    <x v="4"/>
    <x v="145"/>
    <x v="457"/>
    <x v="281"/>
  </r>
  <r>
    <x v="21"/>
    <x v="2"/>
    <x v="17"/>
    <x v="62"/>
    <x v="458"/>
    <x v="124"/>
  </r>
  <r>
    <x v="5"/>
    <x v="1"/>
    <x v="12"/>
    <x v="110"/>
    <x v="459"/>
    <x v="178"/>
  </r>
  <r>
    <x v="10"/>
    <x v="4"/>
    <x v="15"/>
    <x v="131"/>
    <x v="460"/>
    <x v="274"/>
  </r>
  <r>
    <x v="21"/>
    <x v="4"/>
    <x v="6"/>
    <x v="130"/>
    <x v="461"/>
    <x v="29"/>
  </r>
  <r>
    <x v="22"/>
    <x v="0"/>
    <x v="18"/>
    <x v="27"/>
    <x v="462"/>
    <x v="154"/>
  </r>
  <r>
    <x v="3"/>
    <x v="5"/>
    <x v="0"/>
    <x v="69"/>
    <x v="95"/>
    <x v="219"/>
  </r>
  <r>
    <x v="21"/>
    <x v="5"/>
    <x v="21"/>
    <x v="109"/>
    <x v="463"/>
    <x v="28"/>
  </r>
  <r>
    <x v="24"/>
    <x v="1"/>
    <x v="2"/>
    <x v="59"/>
    <x v="464"/>
    <x v="267"/>
  </r>
  <r>
    <x v="3"/>
    <x v="1"/>
    <x v="18"/>
    <x v="153"/>
    <x v="134"/>
    <x v="154"/>
  </r>
  <r>
    <x v="2"/>
    <x v="5"/>
    <x v="16"/>
    <x v="131"/>
    <x v="465"/>
    <x v="282"/>
  </r>
  <r>
    <x v="7"/>
    <x v="1"/>
    <x v="5"/>
    <x v="52"/>
    <x v="466"/>
    <x v="259"/>
  </r>
  <r>
    <x v="20"/>
    <x v="2"/>
    <x v="4"/>
    <x v="30"/>
    <x v="467"/>
    <x v="283"/>
  </r>
  <r>
    <x v="23"/>
    <x v="2"/>
    <x v="12"/>
    <x v="154"/>
    <x v="468"/>
    <x v="2"/>
  </r>
  <r>
    <x v="6"/>
    <x v="4"/>
    <x v="11"/>
    <x v="2"/>
    <x v="469"/>
    <x v="284"/>
  </r>
  <r>
    <x v="9"/>
    <x v="3"/>
    <x v="0"/>
    <x v="60"/>
    <x v="470"/>
    <x v="200"/>
  </r>
  <r>
    <x v="12"/>
    <x v="0"/>
    <x v="4"/>
    <x v="50"/>
    <x v="471"/>
    <x v="30"/>
  </r>
  <r>
    <x v="12"/>
    <x v="4"/>
    <x v="2"/>
    <x v="61"/>
    <x v="472"/>
    <x v="285"/>
  </r>
  <r>
    <x v="6"/>
    <x v="3"/>
    <x v="14"/>
    <x v="26"/>
    <x v="338"/>
    <x v="25"/>
  </r>
  <r>
    <x v="11"/>
    <x v="4"/>
    <x v="19"/>
    <x v="14"/>
    <x v="473"/>
    <x v="62"/>
  </r>
  <r>
    <x v="20"/>
    <x v="4"/>
    <x v="12"/>
    <x v="94"/>
    <x v="474"/>
    <x v="162"/>
  </r>
  <r>
    <x v="9"/>
    <x v="5"/>
    <x v="14"/>
    <x v="150"/>
    <x v="475"/>
    <x v="36"/>
  </r>
  <r>
    <x v="16"/>
    <x v="2"/>
    <x v="16"/>
    <x v="105"/>
    <x v="476"/>
    <x v="286"/>
  </r>
  <r>
    <x v="4"/>
    <x v="4"/>
    <x v="3"/>
    <x v="72"/>
    <x v="350"/>
    <x v="191"/>
  </r>
  <r>
    <x v="17"/>
    <x v="1"/>
    <x v="3"/>
    <x v="2"/>
    <x v="477"/>
    <x v="62"/>
  </r>
  <r>
    <x v="21"/>
    <x v="3"/>
    <x v="20"/>
    <x v="156"/>
    <x v="478"/>
    <x v="287"/>
  </r>
  <r>
    <x v="3"/>
    <x v="5"/>
    <x v="20"/>
    <x v="73"/>
    <x v="479"/>
    <x v="280"/>
  </r>
  <r>
    <x v="4"/>
    <x v="4"/>
    <x v="19"/>
    <x v="153"/>
    <x v="80"/>
    <x v="241"/>
  </r>
  <r>
    <x v="22"/>
    <x v="3"/>
    <x v="2"/>
    <x v="82"/>
    <x v="480"/>
    <x v="288"/>
  </r>
  <r>
    <x v="20"/>
    <x v="2"/>
    <x v="7"/>
    <x v="94"/>
    <x v="481"/>
    <x v="289"/>
  </r>
  <r>
    <x v="11"/>
    <x v="2"/>
    <x v="15"/>
    <x v="16"/>
    <x v="482"/>
    <x v="290"/>
  </r>
  <r>
    <x v="16"/>
    <x v="5"/>
    <x v="15"/>
    <x v="93"/>
    <x v="483"/>
    <x v="48"/>
  </r>
  <r>
    <x v="0"/>
    <x v="0"/>
    <x v="19"/>
    <x v="45"/>
    <x v="484"/>
    <x v="82"/>
  </r>
  <r>
    <x v="20"/>
    <x v="2"/>
    <x v="14"/>
    <x v="32"/>
    <x v="485"/>
    <x v="291"/>
  </r>
  <r>
    <x v="14"/>
    <x v="1"/>
    <x v="1"/>
    <x v="93"/>
    <x v="58"/>
    <x v="292"/>
  </r>
  <r>
    <x v="16"/>
    <x v="4"/>
    <x v="8"/>
    <x v="38"/>
    <x v="385"/>
    <x v="71"/>
  </r>
  <r>
    <x v="5"/>
    <x v="0"/>
    <x v="4"/>
    <x v="66"/>
    <x v="486"/>
    <x v="147"/>
  </r>
  <r>
    <x v="12"/>
    <x v="0"/>
    <x v="18"/>
    <x v="72"/>
    <x v="280"/>
    <x v="162"/>
  </r>
  <r>
    <x v="23"/>
    <x v="5"/>
    <x v="15"/>
    <x v="119"/>
    <x v="115"/>
    <x v="80"/>
  </r>
  <r>
    <x v="16"/>
    <x v="2"/>
    <x v="11"/>
    <x v="133"/>
    <x v="409"/>
    <x v="293"/>
  </r>
  <r>
    <x v="3"/>
    <x v="5"/>
    <x v="13"/>
    <x v="90"/>
    <x v="487"/>
    <x v="294"/>
  </r>
  <r>
    <x v="3"/>
    <x v="1"/>
    <x v="3"/>
    <x v="13"/>
    <x v="445"/>
    <x v="293"/>
  </r>
  <r>
    <x v="7"/>
    <x v="2"/>
    <x v="15"/>
    <x v="13"/>
    <x v="488"/>
    <x v="295"/>
  </r>
  <r>
    <x v="0"/>
    <x v="0"/>
    <x v="11"/>
    <x v="144"/>
    <x v="489"/>
    <x v="54"/>
  </r>
  <r>
    <x v="15"/>
    <x v="5"/>
    <x v="5"/>
    <x v="78"/>
    <x v="490"/>
    <x v="29"/>
  </r>
  <r>
    <x v="13"/>
    <x v="4"/>
    <x v="6"/>
    <x v="58"/>
    <x v="491"/>
    <x v="268"/>
  </r>
  <r>
    <x v="1"/>
    <x v="1"/>
    <x v="16"/>
    <x v="107"/>
    <x v="492"/>
    <x v="158"/>
  </r>
  <r>
    <x v="20"/>
    <x v="4"/>
    <x v="6"/>
    <x v="85"/>
    <x v="87"/>
    <x v="226"/>
  </r>
  <r>
    <x v="22"/>
    <x v="5"/>
    <x v="1"/>
    <x v="20"/>
    <x v="493"/>
    <x v="90"/>
  </r>
  <r>
    <x v="17"/>
    <x v="5"/>
    <x v="3"/>
    <x v="103"/>
    <x v="418"/>
    <x v="296"/>
  </r>
  <r>
    <x v="9"/>
    <x v="2"/>
    <x v="12"/>
    <x v="28"/>
    <x v="494"/>
    <x v="297"/>
  </r>
  <r>
    <x v="24"/>
    <x v="5"/>
    <x v="18"/>
    <x v="32"/>
    <x v="495"/>
    <x v="298"/>
  </r>
  <r>
    <x v="2"/>
    <x v="5"/>
    <x v="12"/>
    <x v="9"/>
    <x v="496"/>
    <x v="173"/>
  </r>
  <r>
    <x v="13"/>
    <x v="3"/>
    <x v="16"/>
    <x v="71"/>
    <x v="497"/>
    <x v="274"/>
  </r>
  <r>
    <x v="14"/>
    <x v="1"/>
    <x v="3"/>
    <x v="41"/>
    <x v="498"/>
    <x v="48"/>
  </r>
  <r>
    <x v="24"/>
    <x v="3"/>
    <x v="0"/>
    <x v="93"/>
    <x v="157"/>
    <x v="299"/>
  </r>
  <r>
    <x v="1"/>
    <x v="3"/>
    <x v="13"/>
    <x v="154"/>
    <x v="336"/>
    <x v="20"/>
  </r>
  <r>
    <x v="19"/>
    <x v="3"/>
    <x v="0"/>
    <x v="142"/>
    <x v="499"/>
    <x v="219"/>
  </r>
  <r>
    <x v="19"/>
    <x v="0"/>
    <x v="11"/>
    <x v="58"/>
    <x v="500"/>
    <x v="300"/>
  </r>
  <r>
    <x v="21"/>
    <x v="4"/>
    <x v="15"/>
    <x v="139"/>
    <x v="501"/>
    <x v="50"/>
  </r>
  <r>
    <x v="5"/>
    <x v="3"/>
    <x v="16"/>
    <x v="79"/>
    <x v="502"/>
    <x v="264"/>
  </r>
  <r>
    <x v="6"/>
    <x v="1"/>
    <x v="17"/>
    <x v="21"/>
    <x v="262"/>
    <x v="223"/>
  </r>
  <r>
    <x v="0"/>
    <x v="4"/>
    <x v="4"/>
    <x v="0"/>
    <x v="503"/>
    <x v="301"/>
  </r>
  <r>
    <x v="12"/>
    <x v="2"/>
    <x v="13"/>
    <x v="119"/>
    <x v="438"/>
    <x v="167"/>
  </r>
  <r>
    <x v="2"/>
    <x v="5"/>
    <x v="11"/>
    <x v="157"/>
    <x v="150"/>
    <x v="131"/>
  </r>
  <r>
    <x v="23"/>
    <x v="1"/>
    <x v="12"/>
    <x v="153"/>
    <x v="504"/>
    <x v="259"/>
  </r>
  <r>
    <x v="5"/>
    <x v="4"/>
    <x v="10"/>
    <x v="50"/>
    <x v="505"/>
    <x v="25"/>
  </r>
  <r>
    <x v="20"/>
    <x v="2"/>
    <x v="17"/>
    <x v="76"/>
    <x v="352"/>
    <x v="60"/>
  </r>
  <r>
    <x v="0"/>
    <x v="1"/>
    <x v="19"/>
    <x v="5"/>
    <x v="506"/>
    <x v="220"/>
  </r>
  <r>
    <x v="10"/>
    <x v="3"/>
    <x v="19"/>
    <x v="16"/>
    <x v="507"/>
    <x v="302"/>
  </r>
  <r>
    <x v="18"/>
    <x v="4"/>
    <x v="6"/>
    <x v="158"/>
    <x v="2"/>
    <x v="295"/>
  </r>
  <r>
    <x v="19"/>
    <x v="1"/>
    <x v="6"/>
    <x v="60"/>
    <x v="508"/>
    <x v="303"/>
  </r>
  <r>
    <x v="22"/>
    <x v="4"/>
    <x v="19"/>
    <x v="38"/>
    <x v="509"/>
    <x v="17"/>
  </r>
  <r>
    <x v="0"/>
    <x v="2"/>
    <x v="4"/>
    <x v="75"/>
    <x v="510"/>
    <x v="304"/>
  </r>
  <r>
    <x v="3"/>
    <x v="2"/>
    <x v="0"/>
    <x v="105"/>
    <x v="511"/>
    <x v="61"/>
  </r>
  <r>
    <x v="4"/>
    <x v="3"/>
    <x v="11"/>
    <x v="89"/>
    <x v="512"/>
    <x v="142"/>
  </r>
  <r>
    <x v="6"/>
    <x v="0"/>
    <x v="16"/>
    <x v="63"/>
    <x v="513"/>
    <x v="100"/>
  </r>
  <r>
    <x v="20"/>
    <x v="1"/>
    <x v="3"/>
    <x v="131"/>
    <x v="126"/>
    <x v="305"/>
  </r>
  <r>
    <x v="7"/>
    <x v="0"/>
    <x v="8"/>
    <x v="3"/>
    <x v="279"/>
    <x v="33"/>
  </r>
  <r>
    <x v="2"/>
    <x v="4"/>
    <x v="3"/>
    <x v="31"/>
    <x v="175"/>
    <x v="179"/>
  </r>
  <r>
    <x v="14"/>
    <x v="3"/>
    <x v="0"/>
    <x v="14"/>
    <x v="514"/>
    <x v="63"/>
  </r>
  <r>
    <x v="14"/>
    <x v="4"/>
    <x v="0"/>
    <x v="32"/>
    <x v="515"/>
    <x v="89"/>
  </r>
  <r>
    <x v="22"/>
    <x v="3"/>
    <x v="13"/>
    <x v="93"/>
    <x v="516"/>
    <x v="69"/>
  </r>
  <r>
    <x v="10"/>
    <x v="1"/>
    <x v="1"/>
    <x v="159"/>
    <x v="517"/>
    <x v="49"/>
  </r>
  <r>
    <x v="24"/>
    <x v="2"/>
    <x v="20"/>
    <x v="154"/>
    <x v="518"/>
    <x v="306"/>
  </r>
  <r>
    <x v="20"/>
    <x v="4"/>
    <x v="13"/>
    <x v="20"/>
    <x v="519"/>
    <x v="181"/>
  </r>
  <r>
    <x v="20"/>
    <x v="5"/>
    <x v="2"/>
    <x v="70"/>
    <x v="520"/>
    <x v="110"/>
  </r>
  <r>
    <x v="2"/>
    <x v="5"/>
    <x v="9"/>
    <x v="47"/>
    <x v="158"/>
    <x v="72"/>
  </r>
  <r>
    <x v="15"/>
    <x v="1"/>
    <x v="13"/>
    <x v="92"/>
    <x v="521"/>
    <x v="244"/>
  </r>
  <r>
    <x v="3"/>
    <x v="3"/>
    <x v="10"/>
    <x v="52"/>
    <x v="522"/>
    <x v="307"/>
  </r>
  <r>
    <x v="2"/>
    <x v="3"/>
    <x v="17"/>
    <x v="145"/>
    <x v="523"/>
    <x v="6"/>
  </r>
  <r>
    <x v="17"/>
    <x v="2"/>
    <x v="11"/>
    <x v="133"/>
    <x v="524"/>
    <x v="12"/>
  </r>
  <r>
    <x v="24"/>
    <x v="0"/>
    <x v="20"/>
    <x v="34"/>
    <x v="525"/>
    <x v="308"/>
  </r>
  <r>
    <x v="1"/>
    <x v="4"/>
    <x v="13"/>
    <x v="25"/>
    <x v="526"/>
    <x v="309"/>
  </r>
  <r>
    <x v="19"/>
    <x v="5"/>
    <x v="8"/>
    <x v="155"/>
    <x v="527"/>
    <x v="100"/>
  </r>
  <r>
    <x v="22"/>
    <x v="1"/>
    <x v="18"/>
    <x v="58"/>
    <x v="528"/>
    <x v="181"/>
  </r>
  <r>
    <x v="20"/>
    <x v="3"/>
    <x v="12"/>
    <x v="155"/>
    <x v="529"/>
    <x v="81"/>
  </r>
  <r>
    <x v="13"/>
    <x v="2"/>
    <x v="9"/>
    <x v="65"/>
    <x v="530"/>
    <x v="9"/>
  </r>
  <r>
    <x v="18"/>
    <x v="4"/>
    <x v="11"/>
    <x v="42"/>
    <x v="507"/>
    <x v="266"/>
  </r>
  <r>
    <x v="19"/>
    <x v="1"/>
    <x v="10"/>
    <x v="93"/>
    <x v="531"/>
    <x v="154"/>
  </r>
  <r>
    <x v="22"/>
    <x v="0"/>
    <x v="13"/>
    <x v="79"/>
    <x v="532"/>
    <x v="302"/>
  </r>
  <r>
    <x v="14"/>
    <x v="2"/>
    <x v="6"/>
    <x v="28"/>
    <x v="533"/>
    <x v="257"/>
  </r>
  <r>
    <x v="6"/>
    <x v="5"/>
    <x v="17"/>
    <x v="107"/>
    <x v="69"/>
    <x v="121"/>
  </r>
  <r>
    <x v="5"/>
    <x v="1"/>
    <x v="0"/>
    <x v="115"/>
    <x v="534"/>
    <x v="274"/>
  </r>
  <r>
    <x v="17"/>
    <x v="1"/>
    <x v="0"/>
    <x v="85"/>
    <x v="535"/>
    <x v="93"/>
  </r>
  <r>
    <x v="8"/>
    <x v="1"/>
    <x v="20"/>
    <x v="0"/>
    <x v="536"/>
    <x v="164"/>
  </r>
  <r>
    <x v="6"/>
    <x v="1"/>
    <x v="11"/>
    <x v="105"/>
    <x v="537"/>
    <x v="310"/>
  </r>
  <r>
    <x v="12"/>
    <x v="0"/>
    <x v="12"/>
    <x v="20"/>
    <x v="538"/>
    <x v="171"/>
  </r>
  <r>
    <x v="8"/>
    <x v="4"/>
    <x v="16"/>
    <x v="152"/>
    <x v="539"/>
    <x v="148"/>
  </r>
  <r>
    <x v="1"/>
    <x v="5"/>
    <x v="17"/>
    <x v="103"/>
    <x v="20"/>
    <x v="284"/>
  </r>
  <r>
    <x v="18"/>
    <x v="2"/>
    <x v="19"/>
    <x v="6"/>
    <x v="540"/>
    <x v="163"/>
  </r>
  <r>
    <x v="6"/>
    <x v="2"/>
    <x v="11"/>
    <x v="109"/>
    <x v="541"/>
    <x v="193"/>
  </r>
  <r>
    <x v="15"/>
    <x v="2"/>
    <x v="13"/>
    <x v="82"/>
    <x v="542"/>
    <x v="198"/>
  </r>
  <r>
    <x v="22"/>
    <x v="2"/>
    <x v="10"/>
    <x v="25"/>
    <x v="543"/>
    <x v="112"/>
  </r>
  <r>
    <x v="1"/>
    <x v="1"/>
    <x v="14"/>
    <x v="111"/>
    <x v="544"/>
    <x v="110"/>
  </r>
  <r>
    <x v="5"/>
    <x v="5"/>
    <x v="5"/>
    <x v="117"/>
    <x v="545"/>
    <x v="168"/>
  </r>
  <r>
    <x v="3"/>
    <x v="4"/>
    <x v="13"/>
    <x v="19"/>
    <x v="45"/>
    <x v="311"/>
  </r>
  <r>
    <x v="3"/>
    <x v="5"/>
    <x v="5"/>
    <x v="57"/>
    <x v="416"/>
    <x v="19"/>
  </r>
  <r>
    <x v="8"/>
    <x v="3"/>
    <x v="15"/>
    <x v="4"/>
    <x v="546"/>
    <x v="312"/>
  </r>
  <r>
    <x v="10"/>
    <x v="3"/>
    <x v="1"/>
    <x v="44"/>
    <x v="547"/>
    <x v="53"/>
  </r>
  <r>
    <x v="4"/>
    <x v="2"/>
    <x v="1"/>
    <x v="30"/>
    <x v="548"/>
    <x v="103"/>
  </r>
  <r>
    <x v="14"/>
    <x v="5"/>
    <x v="18"/>
    <x v="61"/>
    <x v="82"/>
    <x v="113"/>
  </r>
  <r>
    <x v="16"/>
    <x v="1"/>
    <x v="21"/>
    <x v="80"/>
    <x v="549"/>
    <x v="29"/>
  </r>
  <r>
    <x v="12"/>
    <x v="4"/>
    <x v="14"/>
    <x v="54"/>
    <x v="407"/>
    <x v="154"/>
  </r>
  <r>
    <x v="24"/>
    <x v="3"/>
    <x v="5"/>
    <x v="130"/>
    <x v="550"/>
    <x v="313"/>
  </r>
  <r>
    <x v="15"/>
    <x v="1"/>
    <x v="12"/>
    <x v="38"/>
    <x v="551"/>
    <x v="314"/>
  </r>
  <r>
    <x v="5"/>
    <x v="5"/>
    <x v="6"/>
    <x v="0"/>
    <x v="552"/>
    <x v="47"/>
  </r>
  <r>
    <x v="14"/>
    <x v="1"/>
    <x v="11"/>
    <x v="16"/>
    <x v="553"/>
    <x v="315"/>
  </r>
  <r>
    <x v="12"/>
    <x v="1"/>
    <x v="11"/>
    <x v="35"/>
    <x v="554"/>
    <x v="316"/>
  </r>
  <r>
    <x v="15"/>
    <x v="2"/>
    <x v="14"/>
    <x v="29"/>
    <x v="218"/>
    <x v="317"/>
  </r>
  <r>
    <x v="19"/>
    <x v="5"/>
    <x v="15"/>
    <x v="129"/>
    <x v="449"/>
    <x v="318"/>
  </r>
  <r>
    <x v="3"/>
    <x v="3"/>
    <x v="7"/>
    <x v="58"/>
    <x v="555"/>
    <x v="147"/>
  </r>
  <r>
    <x v="19"/>
    <x v="5"/>
    <x v="3"/>
    <x v="51"/>
    <x v="556"/>
    <x v="159"/>
  </r>
  <r>
    <x v="5"/>
    <x v="0"/>
    <x v="17"/>
    <x v="155"/>
    <x v="557"/>
    <x v="319"/>
  </r>
  <r>
    <x v="15"/>
    <x v="3"/>
    <x v="5"/>
    <x v="117"/>
    <x v="558"/>
    <x v="113"/>
  </r>
  <r>
    <x v="19"/>
    <x v="3"/>
    <x v="7"/>
    <x v="107"/>
    <x v="559"/>
    <x v="20"/>
  </r>
  <r>
    <x v="17"/>
    <x v="0"/>
    <x v="19"/>
    <x v="154"/>
    <x v="560"/>
    <x v="180"/>
  </r>
  <r>
    <x v="0"/>
    <x v="5"/>
    <x v="7"/>
    <x v="130"/>
    <x v="561"/>
    <x v="320"/>
  </r>
  <r>
    <x v="0"/>
    <x v="0"/>
    <x v="3"/>
    <x v="32"/>
    <x v="562"/>
    <x v="23"/>
  </r>
  <r>
    <x v="19"/>
    <x v="0"/>
    <x v="20"/>
    <x v="76"/>
    <x v="563"/>
    <x v="180"/>
  </r>
  <r>
    <x v="3"/>
    <x v="0"/>
    <x v="14"/>
    <x v="137"/>
    <x v="17"/>
    <x v="99"/>
  </r>
  <r>
    <x v="23"/>
    <x v="4"/>
    <x v="13"/>
    <x v="57"/>
    <x v="564"/>
    <x v="321"/>
  </r>
  <r>
    <x v="20"/>
    <x v="0"/>
    <x v="18"/>
    <x v="27"/>
    <x v="565"/>
    <x v="122"/>
  </r>
  <r>
    <x v="5"/>
    <x v="3"/>
    <x v="5"/>
    <x v="145"/>
    <x v="566"/>
    <x v="181"/>
  </r>
  <r>
    <x v="16"/>
    <x v="5"/>
    <x v="1"/>
    <x v="81"/>
    <x v="567"/>
    <x v="86"/>
  </r>
  <r>
    <x v="3"/>
    <x v="3"/>
    <x v="15"/>
    <x v="12"/>
    <x v="568"/>
    <x v="322"/>
  </r>
  <r>
    <x v="5"/>
    <x v="3"/>
    <x v="17"/>
    <x v="32"/>
    <x v="89"/>
    <x v="193"/>
  </r>
  <r>
    <x v="1"/>
    <x v="2"/>
    <x v="4"/>
    <x v="154"/>
    <x v="399"/>
    <x v="120"/>
  </r>
  <r>
    <x v="14"/>
    <x v="4"/>
    <x v="9"/>
    <x v="64"/>
    <x v="569"/>
    <x v="42"/>
  </r>
  <r>
    <x v="6"/>
    <x v="2"/>
    <x v="12"/>
    <x v="122"/>
    <x v="570"/>
    <x v="172"/>
  </r>
  <r>
    <x v="9"/>
    <x v="3"/>
    <x v="1"/>
    <x v="5"/>
    <x v="265"/>
    <x v="85"/>
  </r>
  <r>
    <x v="18"/>
    <x v="4"/>
    <x v="18"/>
    <x v="5"/>
    <x v="571"/>
    <x v="83"/>
  </r>
  <r>
    <x v="12"/>
    <x v="3"/>
    <x v="10"/>
    <x v="27"/>
    <x v="415"/>
    <x v="244"/>
  </r>
  <r>
    <x v="5"/>
    <x v="0"/>
    <x v="6"/>
    <x v="10"/>
    <x v="572"/>
    <x v="30"/>
  </r>
  <r>
    <x v="11"/>
    <x v="4"/>
    <x v="17"/>
    <x v="123"/>
    <x v="547"/>
    <x v="28"/>
  </r>
  <r>
    <x v="0"/>
    <x v="0"/>
    <x v="14"/>
    <x v="28"/>
    <x v="573"/>
    <x v="227"/>
  </r>
  <r>
    <x v="0"/>
    <x v="3"/>
    <x v="1"/>
    <x v="54"/>
    <x v="574"/>
    <x v="293"/>
  </r>
  <r>
    <x v="23"/>
    <x v="4"/>
    <x v="1"/>
    <x v="91"/>
    <x v="575"/>
    <x v="323"/>
  </r>
  <r>
    <x v="7"/>
    <x v="2"/>
    <x v="3"/>
    <x v="21"/>
    <x v="576"/>
    <x v="324"/>
  </r>
  <r>
    <x v="14"/>
    <x v="1"/>
    <x v="15"/>
    <x v="123"/>
    <x v="577"/>
    <x v="178"/>
  </r>
  <r>
    <x v="9"/>
    <x v="4"/>
    <x v="2"/>
    <x v="123"/>
    <x v="192"/>
    <x v="45"/>
  </r>
  <r>
    <x v="1"/>
    <x v="5"/>
    <x v="2"/>
    <x v="132"/>
    <x v="458"/>
    <x v="144"/>
  </r>
  <r>
    <x v="20"/>
    <x v="3"/>
    <x v="3"/>
    <x v="54"/>
    <x v="578"/>
    <x v="173"/>
  </r>
  <r>
    <x v="7"/>
    <x v="4"/>
    <x v="3"/>
    <x v="109"/>
    <x v="579"/>
    <x v="122"/>
  </r>
  <r>
    <x v="7"/>
    <x v="4"/>
    <x v="14"/>
    <x v="160"/>
    <x v="9"/>
    <x v="179"/>
  </r>
  <r>
    <x v="13"/>
    <x v="5"/>
    <x v="3"/>
    <x v="66"/>
    <x v="580"/>
    <x v="11"/>
  </r>
  <r>
    <x v="14"/>
    <x v="3"/>
    <x v="5"/>
    <x v="16"/>
    <x v="542"/>
    <x v="117"/>
  </r>
  <r>
    <x v="21"/>
    <x v="1"/>
    <x v="1"/>
    <x v="116"/>
    <x v="386"/>
    <x v="194"/>
  </r>
  <r>
    <x v="24"/>
    <x v="4"/>
    <x v="18"/>
    <x v="0"/>
    <x v="581"/>
    <x v="96"/>
  </r>
  <r>
    <x v="11"/>
    <x v="2"/>
    <x v="19"/>
    <x v="10"/>
    <x v="582"/>
    <x v="90"/>
  </r>
  <r>
    <x v="18"/>
    <x v="3"/>
    <x v="13"/>
    <x v="36"/>
    <x v="492"/>
    <x v="325"/>
  </r>
  <r>
    <x v="16"/>
    <x v="2"/>
    <x v="0"/>
    <x v="134"/>
    <x v="230"/>
    <x v="141"/>
  </r>
  <r>
    <x v="21"/>
    <x v="3"/>
    <x v="2"/>
    <x v="129"/>
    <x v="583"/>
    <x v="10"/>
  </r>
  <r>
    <x v="14"/>
    <x v="5"/>
    <x v="10"/>
    <x v="105"/>
    <x v="584"/>
    <x v="108"/>
  </r>
  <r>
    <x v="3"/>
    <x v="1"/>
    <x v="4"/>
    <x v="123"/>
    <x v="585"/>
    <x v="142"/>
  </r>
  <r>
    <x v="7"/>
    <x v="5"/>
    <x v="9"/>
    <x v="97"/>
    <x v="586"/>
    <x v="168"/>
  </r>
  <r>
    <x v="3"/>
    <x v="0"/>
    <x v="7"/>
    <x v="26"/>
    <x v="587"/>
    <x v="315"/>
  </r>
  <r>
    <x v="8"/>
    <x v="3"/>
    <x v="6"/>
    <x v="130"/>
    <x v="588"/>
    <x v="326"/>
  </r>
  <r>
    <x v="14"/>
    <x v="2"/>
    <x v="8"/>
    <x v="112"/>
    <x v="589"/>
    <x v="53"/>
  </r>
  <r>
    <x v="3"/>
    <x v="1"/>
    <x v="20"/>
    <x v="9"/>
    <x v="590"/>
    <x v="273"/>
  </r>
  <r>
    <x v="19"/>
    <x v="0"/>
    <x v="14"/>
    <x v="65"/>
    <x v="66"/>
    <x v="90"/>
  </r>
  <r>
    <x v="21"/>
    <x v="3"/>
    <x v="17"/>
    <x v="92"/>
    <x v="591"/>
    <x v="68"/>
  </r>
  <r>
    <x v="22"/>
    <x v="2"/>
    <x v="7"/>
    <x v="35"/>
    <x v="411"/>
    <x v="327"/>
  </r>
  <r>
    <x v="13"/>
    <x v="5"/>
    <x v="8"/>
    <x v="121"/>
    <x v="592"/>
    <x v="20"/>
  </r>
  <r>
    <x v="10"/>
    <x v="1"/>
    <x v="14"/>
    <x v="154"/>
    <x v="593"/>
    <x v="257"/>
  </r>
  <r>
    <x v="18"/>
    <x v="1"/>
    <x v="0"/>
    <x v="38"/>
    <x v="594"/>
    <x v="194"/>
  </r>
  <r>
    <x v="19"/>
    <x v="0"/>
    <x v="4"/>
    <x v="90"/>
    <x v="556"/>
    <x v="150"/>
  </r>
  <r>
    <x v="11"/>
    <x v="0"/>
    <x v="6"/>
    <x v="107"/>
    <x v="595"/>
    <x v="328"/>
  </r>
  <r>
    <x v="24"/>
    <x v="1"/>
    <x v="18"/>
    <x v="16"/>
    <x v="596"/>
    <x v="148"/>
  </r>
  <r>
    <x v="22"/>
    <x v="0"/>
    <x v="17"/>
    <x v="56"/>
    <x v="197"/>
    <x v="245"/>
  </r>
  <r>
    <x v="18"/>
    <x v="2"/>
    <x v="6"/>
    <x v="13"/>
    <x v="597"/>
    <x v="280"/>
  </r>
  <r>
    <x v="2"/>
    <x v="5"/>
    <x v="14"/>
    <x v="36"/>
    <x v="598"/>
    <x v="247"/>
  </r>
  <r>
    <x v="18"/>
    <x v="3"/>
    <x v="8"/>
    <x v="54"/>
    <x v="599"/>
    <x v="108"/>
  </r>
  <r>
    <x v="6"/>
    <x v="0"/>
    <x v="2"/>
    <x v="53"/>
    <x v="600"/>
    <x v="117"/>
  </r>
  <r>
    <x v="13"/>
    <x v="0"/>
    <x v="19"/>
    <x v="92"/>
    <x v="601"/>
    <x v="329"/>
  </r>
  <r>
    <x v="10"/>
    <x v="2"/>
    <x v="6"/>
    <x v="154"/>
    <x v="415"/>
    <x v="330"/>
  </r>
  <r>
    <x v="11"/>
    <x v="3"/>
    <x v="10"/>
    <x v="51"/>
    <x v="602"/>
    <x v="112"/>
  </r>
  <r>
    <x v="3"/>
    <x v="0"/>
    <x v="10"/>
    <x v="77"/>
    <x v="603"/>
    <x v="15"/>
  </r>
  <r>
    <x v="7"/>
    <x v="5"/>
    <x v="13"/>
    <x v="32"/>
    <x v="604"/>
    <x v="177"/>
  </r>
  <r>
    <x v="24"/>
    <x v="0"/>
    <x v="18"/>
    <x v="76"/>
    <x v="164"/>
    <x v="290"/>
  </r>
  <r>
    <x v="5"/>
    <x v="5"/>
    <x v="16"/>
    <x v="12"/>
    <x v="594"/>
    <x v="117"/>
  </r>
  <r>
    <x v="15"/>
    <x v="4"/>
    <x v="4"/>
    <x v="84"/>
    <x v="605"/>
    <x v="80"/>
  </r>
  <r>
    <x v="17"/>
    <x v="5"/>
    <x v="0"/>
    <x v="70"/>
    <x v="606"/>
    <x v="331"/>
  </r>
  <r>
    <x v="6"/>
    <x v="0"/>
    <x v="15"/>
    <x v="44"/>
    <x v="234"/>
    <x v="61"/>
  </r>
  <r>
    <x v="1"/>
    <x v="0"/>
    <x v="19"/>
    <x v="7"/>
    <x v="37"/>
    <x v="332"/>
  </r>
  <r>
    <x v="8"/>
    <x v="2"/>
    <x v="20"/>
    <x v="99"/>
    <x v="607"/>
    <x v="53"/>
  </r>
  <r>
    <x v="17"/>
    <x v="4"/>
    <x v="8"/>
    <x v="63"/>
    <x v="608"/>
    <x v="114"/>
  </r>
  <r>
    <x v="2"/>
    <x v="2"/>
    <x v="17"/>
    <x v="159"/>
    <x v="372"/>
    <x v="46"/>
  </r>
  <r>
    <x v="17"/>
    <x v="4"/>
    <x v="10"/>
    <x v="135"/>
    <x v="609"/>
    <x v="179"/>
  </r>
  <r>
    <x v="12"/>
    <x v="5"/>
    <x v="7"/>
    <x v="146"/>
    <x v="610"/>
    <x v="176"/>
  </r>
  <r>
    <x v="9"/>
    <x v="2"/>
    <x v="18"/>
    <x v="113"/>
    <x v="611"/>
    <x v="96"/>
  </r>
  <r>
    <x v="24"/>
    <x v="1"/>
    <x v="20"/>
    <x v="26"/>
    <x v="31"/>
    <x v="60"/>
  </r>
  <r>
    <x v="1"/>
    <x v="5"/>
    <x v="6"/>
    <x v="65"/>
    <x v="4"/>
    <x v="204"/>
  </r>
  <r>
    <x v="20"/>
    <x v="3"/>
    <x v="19"/>
    <x v="130"/>
    <x v="260"/>
    <x v="116"/>
  </r>
  <r>
    <x v="12"/>
    <x v="1"/>
    <x v="12"/>
    <x v="126"/>
    <x v="428"/>
    <x v="333"/>
  </r>
  <r>
    <x v="2"/>
    <x v="2"/>
    <x v="16"/>
    <x v="120"/>
    <x v="504"/>
    <x v="118"/>
  </r>
  <r>
    <x v="7"/>
    <x v="3"/>
    <x v="8"/>
    <x v="64"/>
    <x v="612"/>
    <x v="194"/>
  </r>
  <r>
    <x v="20"/>
    <x v="5"/>
    <x v="3"/>
    <x v="103"/>
    <x v="613"/>
    <x v="105"/>
  </r>
  <r>
    <x v="3"/>
    <x v="1"/>
    <x v="19"/>
    <x v="1"/>
    <x v="614"/>
    <x v="159"/>
  </r>
  <r>
    <x v="0"/>
    <x v="2"/>
    <x v="11"/>
    <x v="113"/>
    <x v="615"/>
    <x v="334"/>
  </r>
  <r>
    <x v="2"/>
    <x v="5"/>
    <x v="13"/>
    <x v="107"/>
    <x v="419"/>
    <x v="61"/>
  </r>
  <r>
    <x v="12"/>
    <x v="0"/>
    <x v="8"/>
    <x v="119"/>
    <x v="616"/>
    <x v="277"/>
  </r>
  <r>
    <x v="11"/>
    <x v="3"/>
    <x v="8"/>
    <x v="93"/>
    <x v="617"/>
    <x v="86"/>
  </r>
  <r>
    <x v="15"/>
    <x v="2"/>
    <x v="4"/>
    <x v="56"/>
    <x v="618"/>
    <x v="120"/>
  </r>
  <r>
    <x v="5"/>
    <x v="3"/>
    <x v="13"/>
    <x v="39"/>
    <x v="619"/>
    <x v="335"/>
  </r>
  <r>
    <x v="14"/>
    <x v="5"/>
    <x v="21"/>
    <x v="60"/>
    <x v="443"/>
    <x v="113"/>
  </r>
  <r>
    <x v="20"/>
    <x v="3"/>
    <x v="15"/>
    <x v="70"/>
    <x v="620"/>
    <x v="85"/>
  </r>
  <r>
    <x v="23"/>
    <x v="2"/>
    <x v="19"/>
    <x v="76"/>
    <x v="131"/>
    <x v="238"/>
  </r>
  <r>
    <x v="8"/>
    <x v="2"/>
    <x v="1"/>
    <x v="157"/>
    <x v="621"/>
    <x v="110"/>
  </r>
  <r>
    <x v="12"/>
    <x v="2"/>
    <x v="6"/>
    <x v="45"/>
    <x v="622"/>
    <x v="336"/>
  </r>
  <r>
    <x v="5"/>
    <x v="1"/>
    <x v="19"/>
    <x v="113"/>
    <x v="384"/>
    <x v="337"/>
  </r>
  <r>
    <x v="1"/>
    <x v="2"/>
    <x v="6"/>
    <x v="57"/>
    <x v="623"/>
    <x v="68"/>
  </r>
  <r>
    <x v="4"/>
    <x v="4"/>
    <x v="15"/>
    <x v="90"/>
    <x v="521"/>
    <x v="189"/>
  </r>
  <r>
    <x v="1"/>
    <x v="5"/>
    <x v="18"/>
    <x v="125"/>
    <x v="148"/>
    <x v="89"/>
  </r>
  <r>
    <x v="10"/>
    <x v="5"/>
    <x v="21"/>
    <x v="132"/>
    <x v="265"/>
    <x v="338"/>
  </r>
  <r>
    <x v="20"/>
    <x v="5"/>
    <x v="13"/>
    <x v="55"/>
    <x v="624"/>
    <x v="58"/>
  </r>
  <r>
    <x v="21"/>
    <x v="1"/>
    <x v="4"/>
    <x v="73"/>
    <x v="625"/>
    <x v="307"/>
  </r>
  <r>
    <x v="22"/>
    <x v="3"/>
    <x v="21"/>
    <x v="105"/>
    <x v="626"/>
    <x v="266"/>
  </r>
  <r>
    <x v="9"/>
    <x v="3"/>
    <x v="7"/>
    <x v="131"/>
    <x v="459"/>
    <x v="47"/>
  </r>
  <r>
    <x v="3"/>
    <x v="5"/>
    <x v="21"/>
    <x v="15"/>
    <x v="627"/>
    <x v="339"/>
  </r>
  <r>
    <x v="20"/>
    <x v="2"/>
    <x v="11"/>
    <x v="4"/>
    <x v="219"/>
    <x v="100"/>
  </r>
  <r>
    <x v="17"/>
    <x v="1"/>
    <x v="7"/>
    <x v="113"/>
    <x v="201"/>
    <x v="264"/>
  </r>
  <r>
    <x v="15"/>
    <x v="0"/>
    <x v="8"/>
    <x v="128"/>
    <x v="418"/>
    <x v="171"/>
  </r>
  <r>
    <x v="2"/>
    <x v="4"/>
    <x v="2"/>
    <x v="122"/>
    <x v="78"/>
    <x v="207"/>
  </r>
  <r>
    <x v="18"/>
    <x v="4"/>
    <x v="3"/>
    <x v="93"/>
    <x v="533"/>
    <x v="102"/>
  </r>
  <r>
    <x v="14"/>
    <x v="1"/>
    <x v="14"/>
    <x v="9"/>
    <x v="86"/>
    <x v="3"/>
  </r>
  <r>
    <x v="4"/>
    <x v="3"/>
    <x v="12"/>
    <x v="161"/>
    <x v="628"/>
    <x v="235"/>
  </r>
  <r>
    <x v="12"/>
    <x v="3"/>
    <x v="2"/>
    <x v="37"/>
    <x v="629"/>
    <x v="117"/>
  </r>
  <r>
    <x v="23"/>
    <x v="3"/>
    <x v="4"/>
    <x v="122"/>
    <x v="630"/>
    <x v="214"/>
  </r>
  <r>
    <x v="20"/>
    <x v="1"/>
    <x v="21"/>
    <x v="5"/>
    <x v="269"/>
    <x v="85"/>
  </r>
  <r>
    <x v="20"/>
    <x v="1"/>
    <x v="9"/>
    <x v="9"/>
    <x v="520"/>
    <x v="229"/>
  </r>
  <r>
    <x v="6"/>
    <x v="3"/>
    <x v="9"/>
    <x v="5"/>
    <x v="583"/>
    <x v="149"/>
  </r>
  <r>
    <x v="23"/>
    <x v="2"/>
    <x v="16"/>
    <x v="110"/>
    <x v="98"/>
    <x v="2"/>
  </r>
  <r>
    <x v="18"/>
    <x v="3"/>
    <x v="10"/>
    <x v="60"/>
    <x v="631"/>
    <x v="173"/>
  </r>
  <r>
    <x v="24"/>
    <x v="3"/>
    <x v="20"/>
    <x v="30"/>
    <x v="632"/>
    <x v="16"/>
  </r>
  <r>
    <x v="8"/>
    <x v="5"/>
    <x v="15"/>
    <x v="74"/>
    <x v="387"/>
    <x v="156"/>
  </r>
  <r>
    <x v="2"/>
    <x v="3"/>
    <x v="3"/>
    <x v="53"/>
    <x v="622"/>
    <x v="82"/>
  </r>
  <r>
    <x v="6"/>
    <x v="4"/>
    <x v="15"/>
    <x v="38"/>
    <x v="633"/>
    <x v="305"/>
  </r>
  <r>
    <x v="13"/>
    <x v="3"/>
    <x v="1"/>
    <x v="49"/>
    <x v="634"/>
    <x v="180"/>
  </r>
  <r>
    <x v="4"/>
    <x v="0"/>
    <x v="3"/>
    <x v="106"/>
    <x v="596"/>
    <x v="340"/>
  </r>
  <r>
    <x v="4"/>
    <x v="0"/>
    <x v="17"/>
    <x v="70"/>
    <x v="635"/>
    <x v="316"/>
  </r>
  <r>
    <x v="13"/>
    <x v="4"/>
    <x v="9"/>
    <x v="84"/>
    <x v="22"/>
    <x v="277"/>
  </r>
  <r>
    <x v="19"/>
    <x v="2"/>
    <x v="15"/>
    <x v="159"/>
    <x v="636"/>
    <x v="341"/>
  </r>
  <r>
    <x v="9"/>
    <x v="1"/>
    <x v="17"/>
    <x v="52"/>
    <x v="637"/>
    <x v="236"/>
  </r>
  <r>
    <x v="0"/>
    <x v="4"/>
    <x v="7"/>
    <x v="12"/>
    <x v="638"/>
    <x v="178"/>
  </r>
  <r>
    <x v="16"/>
    <x v="3"/>
    <x v="21"/>
    <x v="7"/>
    <x v="639"/>
    <x v="5"/>
  </r>
  <r>
    <x v="14"/>
    <x v="2"/>
    <x v="5"/>
    <x v="155"/>
    <x v="79"/>
    <x v="239"/>
  </r>
  <r>
    <x v="15"/>
    <x v="0"/>
    <x v="16"/>
    <x v="134"/>
    <x v="640"/>
    <x v="185"/>
  </r>
  <r>
    <x v="16"/>
    <x v="5"/>
    <x v="18"/>
    <x v="43"/>
    <x v="641"/>
    <x v="223"/>
  </r>
  <r>
    <x v="13"/>
    <x v="0"/>
    <x v="2"/>
    <x v="120"/>
    <x v="299"/>
    <x v="333"/>
  </r>
  <r>
    <x v="24"/>
    <x v="3"/>
    <x v="8"/>
    <x v="92"/>
    <x v="642"/>
    <x v="282"/>
  </r>
  <r>
    <x v="6"/>
    <x v="1"/>
    <x v="1"/>
    <x v="145"/>
    <x v="643"/>
    <x v="342"/>
  </r>
  <r>
    <x v="6"/>
    <x v="3"/>
    <x v="10"/>
    <x v="154"/>
    <x v="331"/>
    <x v="340"/>
  </r>
  <r>
    <x v="19"/>
    <x v="5"/>
    <x v="14"/>
    <x v="15"/>
    <x v="15"/>
    <x v="334"/>
  </r>
  <r>
    <x v="2"/>
    <x v="3"/>
    <x v="7"/>
    <x v="45"/>
    <x v="400"/>
    <x v="343"/>
  </r>
  <r>
    <x v="24"/>
    <x v="5"/>
    <x v="3"/>
    <x v="83"/>
    <x v="302"/>
    <x v="30"/>
  </r>
  <r>
    <x v="15"/>
    <x v="5"/>
    <x v="21"/>
    <x v="60"/>
    <x v="644"/>
    <x v="248"/>
  </r>
  <r>
    <x v="8"/>
    <x v="5"/>
    <x v="10"/>
    <x v="11"/>
    <x v="645"/>
    <x v="342"/>
  </r>
  <r>
    <x v="4"/>
    <x v="0"/>
    <x v="10"/>
    <x v="30"/>
    <x v="646"/>
    <x v="21"/>
  </r>
  <r>
    <x v="1"/>
    <x v="3"/>
    <x v="8"/>
    <x v="162"/>
    <x v="647"/>
    <x v="251"/>
  </r>
  <r>
    <x v="9"/>
    <x v="0"/>
    <x v="9"/>
    <x v="48"/>
    <x v="648"/>
    <x v="149"/>
  </r>
  <r>
    <x v="4"/>
    <x v="0"/>
    <x v="11"/>
    <x v="36"/>
    <x v="187"/>
    <x v="226"/>
  </r>
  <r>
    <x v="10"/>
    <x v="3"/>
    <x v="0"/>
    <x v="52"/>
    <x v="649"/>
    <x v="169"/>
  </r>
  <r>
    <x v="0"/>
    <x v="4"/>
    <x v="17"/>
    <x v="72"/>
    <x v="86"/>
    <x v="32"/>
  </r>
  <r>
    <x v="20"/>
    <x v="0"/>
    <x v="1"/>
    <x v="130"/>
    <x v="650"/>
    <x v="344"/>
  </r>
  <r>
    <x v="20"/>
    <x v="4"/>
    <x v="16"/>
    <x v="59"/>
    <x v="651"/>
    <x v="143"/>
  </r>
  <r>
    <x v="11"/>
    <x v="5"/>
    <x v="7"/>
    <x v="102"/>
    <x v="497"/>
    <x v="345"/>
  </r>
  <r>
    <x v="17"/>
    <x v="1"/>
    <x v="13"/>
    <x v="99"/>
    <x v="652"/>
    <x v="51"/>
  </r>
  <r>
    <x v="6"/>
    <x v="5"/>
    <x v="3"/>
    <x v="110"/>
    <x v="299"/>
    <x v="346"/>
  </r>
  <r>
    <x v="8"/>
    <x v="5"/>
    <x v="19"/>
    <x v="152"/>
    <x v="653"/>
    <x v="178"/>
  </r>
  <r>
    <x v="6"/>
    <x v="1"/>
    <x v="3"/>
    <x v="48"/>
    <x v="654"/>
    <x v="135"/>
  </r>
  <r>
    <x v="3"/>
    <x v="2"/>
    <x v="9"/>
    <x v="163"/>
    <x v="334"/>
    <x v="51"/>
  </r>
  <r>
    <x v="6"/>
    <x v="1"/>
    <x v="12"/>
    <x v="82"/>
    <x v="655"/>
    <x v="314"/>
  </r>
  <r>
    <x v="1"/>
    <x v="0"/>
    <x v="8"/>
    <x v="28"/>
    <x v="546"/>
    <x v="176"/>
  </r>
  <r>
    <x v="18"/>
    <x v="1"/>
    <x v="20"/>
    <x v="10"/>
    <x v="656"/>
    <x v="321"/>
  </r>
  <r>
    <x v="0"/>
    <x v="0"/>
    <x v="5"/>
    <x v="19"/>
    <x v="657"/>
    <x v="223"/>
  </r>
  <r>
    <x v="8"/>
    <x v="5"/>
    <x v="14"/>
    <x v="96"/>
    <x v="658"/>
    <x v="347"/>
  </r>
  <r>
    <x v="5"/>
    <x v="1"/>
    <x v="10"/>
    <x v="161"/>
    <x v="659"/>
    <x v="44"/>
  </r>
  <r>
    <x v="9"/>
    <x v="5"/>
    <x v="3"/>
    <x v="139"/>
    <x v="106"/>
    <x v="325"/>
  </r>
  <r>
    <x v="9"/>
    <x v="1"/>
    <x v="8"/>
    <x v="77"/>
    <x v="660"/>
    <x v="106"/>
  </r>
  <r>
    <x v="7"/>
    <x v="2"/>
    <x v="17"/>
    <x v="78"/>
    <x v="282"/>
    <x v="199"/>
  </r>
  <r>
    <x v="10"/>
    <x v="0"/>
    <x v="6"/>
    <x v="81"/>
    <x v="661"/>
    <x v="348"/>
  </r>
  <r>
    <x v="16"/>
    <x v="2"/>
    <x v="6"/>
    <x v="73"/>
    <x v="662"/>
    <x v="148"/>
  </r>
  <r>
    <x v="2"/>
    <x v="2"/>
    <x v="8"/>
    <x v="77"/>
    <x v="663"/>
    <x v="128"/>
  </r>
  <r>
    <x v="4"/>
    <x v="1"/>
    <x v="9"/>
    <x v="129"/>
    <x v="664"/>
    <x v="284"/>
  </r>
  <r>
    <x v="1"/>
    <x v="3"/>
    <x v="19"/>
    <x v="127"/>
    <x v="196"/>
    <x v="51"/>
  </r>
  <r>
    <x v="15"/>
    <x v="1"/>
    <x v="2"/>
    <x v="122"/>
    <x v="665"/>
    <x v="262"/>
  </r>
  <r>
    <x v="19"/>
    <x v="2"/>
    <x v="19"/>
    <x v="145"/>
    <x v="666"/>
    <x v="176"/>
  </r>
  <r>
    <x v="22"/>
    <x v="5"/>
    <x v="18"/>
    <x v="164"/>
    <x v="667"/>
    <x v="349"/>
  </r>
  <r>
    <x v="6"/>
    <x v="1"/>
    <x v="21"/>
    <x v="49"/>
    <x v="668"/>
    <x v="350"/>
  </r>
  <r>
    <x v="0"/>
    <x v="5"/>
    <x v="14"/>
    <x v="6"/>
    <x v="669"/>
    <x v="128"/>
  </r>
  <r>
    <x v="19"/>
    <x v="2"/>
    <x v="16"/>
    <x v="91"/>
    <x v="231"/>
    <x v="95"/>
  </r>
  <r>
    <x v="23"/>
    <x v="5"/>
    <x v="5"/>
    <x v="154"/>
    <x v="210"/>
    <x v="351"/>
  </r>
  <r>
    <x v="10"/>
    <x v="4"/>
    <x v="8"/>
    <x v="88"/>
    <x v="670"/>
    <x v="100"/>
  </r>
  <r>
    <x v="10"/>
    <x v="5"/>
    <x v="13"/>
    <x v="34"/>
    <x v="671"/>
    <x v="39"/>
  </r>
  <r>
    <x v="5"/>
    <x v="4"/>
    <x v="1"/>
    <x v="30"/>
    <x v="672"/>
    <x v="48"/>
  </r>
  <r>
    <x v="23"/>
    <x v="3"/>
    <x v="17"/>
    <x v="157"/>
    <x v="673"/>
    <x v="2"/>
  </r>
  <r>
    <x v="11"/>
    <x v="5"/>
    <x v="20"/>
    <x v="37"/>
    <x v="203"/>
    <x v="352"/>
  </r>
  <r>
    <x v="17"/>
    <x v="1"/>
    <x v="10"/>
    <x v="59"/>
    <x v="674"/>
    <x v="174"/>
  </r>
  <r>
    <x v="21"/>
    <x v="0"/>
    <x v="0"/>
    <x v="46"/>
    <x v="675"/>
    <x v="254"/>
  </r>
  <r>
    <x v="6"/>
    <x v="4"/>
    <x v="21"/>
    <x v="49"/>
    <x v="606"/>
    <x v="69"/>
  </r>
  <r>
    <x v="22"/>
    <x v="2"/>
    <x v="4"/>
    <x v="1"/>
    <x v="649"/>
    <x v="163"/>
  </r>
  <r>
    <x v="9"/>
    <x v="2"/>
    <x v="8"/>
    <x v="38"/>
    <x v="676"/>
    <x v="353"/>
  </r>
  <r>
    <x v="11"/>
    <x v="1"/>
    <x v="4"/>
    <x v="31"/>
    <x v="677"/>
    <x v="21"/>
  </r>
  <r>
    <x v="15"/>
    <x v="4"/>
    <x v="13"/>
    <x v="165"/>
    <x v="325"/>
    <x v="103"/>
  </r>
  <r>
    <x v="20"/>
    <x v="2"/>
    <x v="16"/>
    <x v="21"/>
    <x v="678"/>
    <x v="313"/>
  </r>
  <r>
    <x v="24"/>
    <x v="4"/>
    <x v="11"/>
    <x v="129"/>
    <x v="679"/>
    <x v="21"/>
  </r>
  <r>
    <x v="3"/>
    <x v="0"/>
    <x v="20"/>
    <x v="73"/>
    <x v="421"/>
    <x v="354"/>
  </r>
  <r>
    <x v="6"/>
    <x v="3"/>
    <x v="21"/>
    <x v="26"/>
    <x v="639"/>
    <x v="284"/>
  </r>
  <r>
    <x v="4"/>
    <x v="1"/>
    <x v="1"/>
    <x v="25"/>
    <x v="680"/>
    <x v="284"/>
  </r>
  <r>
    <x v="16"/>
    <x v="3"/>
    <x v="3"/>
    <x v="77"/>
    <x v="486"/>
    <x v="355"/>
  </r>
  <r>
    <x v="2"/>
    <x v="2"/>
    <x v="21"/>
    <x v="61"/>
    <x v="203"/>
    <x v="239"/>
  </r>
  <r>
    <x v="3"/>
    <x v="0"/>
    <x v="6"/>
    <x v="89"/>
    <x v="681"/>
    <x v="300"/>
  </r>
  <r>
    <x v="5"/>
    <x v="5"/>
    <x v="14"/>
    <x v="155"/>
    <x v="682"/>
    <x v="303"/>
  </r>
  <r>
    <x v="0"/>
    <x v="2"/>
    <x v="12"/>
    <x v="10"/>
    <x v="507"/>
    <x v="269"/>
  </r>
  <r>
    <x v="15"/>
    <x v="0"/>
    <x v="19"/>
    <x v="94"/>
    <x v="683"/>
    <x v="48"/>
  </r>
  <r>
    <x v="7"/>
    <x v="3"/>
    <x v="5"/>
    <x v="2"/>
    <x v="684"/>
    <x v="96"/>
  </r>
  <r>
    <x v="22"/>
    <x v="3"/>
    <x v="0"/>
    <x v="54"/>
    <x v="685"/>
    <x v="247"/>
  </r>
  <r>
    <x v="22"/>
    <x v="0"/>
    <x v="21"/>
    <x v="17"/>
    <x v="686"/>
    <x v="312"/>
  </r>
  <r>
    <x v="8"/>
    <x v="2"/>
    <x v="10"/>
    <x v="101"/>
    <x v="443"/>
    <x v="314"/>
  </r>
  <r>
    <x v="12"/>
    <x v="3"/>
    <x v="9"/>
    <x v="89"/>
    <x v="645"/>
    <x v="355"/>
  </r>
  <r>
    <x v="12"/>
    <x v="1"/>
    <x v="8"/>
    <x v="133"/>
    <x v="687"/>
    <x v="234"/>
  </r>
  <r>
    <x v="19"/>
    <x v="1"/>
    <x v="8"/>
    <x v="45"/>
    <x v="688"/>
    <x v="147"/>
  </r>
  <r>
    <x v="2"/>
    <x v="0"/>
    <x v="1"/>
    <x v="130"/>
    <x v="689"/>
    <x v="1"/>
  </r>
  <r>
    <x v="13"/>
    <x v="0"/>
    <x v="17"/>
    <x v="82"/>
    <x v="690"/>
    <x v="275"/>
  </r>
  <r>
    <x v="23"/>
    <x v="0"/>
    <x v="0"/>
    <x v="166"/>
    <x v="37"/>
    <x v="174"/>
  </r>
  <r>
    <x v="8"/>
    <x v="5"/>
    <x v="9"/>
    <x v="158"/>
    <x v="592"/>
    <x v="356"/>
  </r>
  <r>
    <x v="4"/>
    <x v="4"/>
    <x v="11"/>
    <x v="107"/>
    <x v="362"/>
    <x v="159"/>
  </r>
  <r>
    <x v="4"/>
    <x v="0"/>
    <x v="7"/>
    <x v="35"/>
    <x v="691"/>
    <x v="351"/>
  </r>
  <r>
    <x v="14"/>
    <x v="5"/>
    <x v="2"/>
    <x v="33"/>
    <x v="369"/>
    <x v="357"/>
  </r>
  <r>
    <x v="2"/>
    <x v="1"/>
    <x v="14"/>
    <x v="100"/>
    <x v="692"/>
    <x v="19"/>
  </r>
  <r>
    <x v="15"/>
    <x v="5"/>
    <x v="18"/>
    <x v="88"/>
    <x v="475"/>
    <x v="75"/>
  </r>
  <r>
    <x v="18"/>
    <x v="1"/>
    <x v="18"/>
    <x v="38"/>
    <x v="607"/>
    <x v="143"/>
  </r>
  <r>
    <x v="18"/>
    <x v="3"/>
    <x v="19"/>
    <x v="119"/>
    <x v="432"/>
    <x v="8"/>
  </r>
  <r>
    <x v="16"/>
    <x v="0"/>
    <x v="18"/>
    <x v="13"/>
    <x v="693"/>
    <x v="358"/>
  </r>
  <r>
    <x v="17"/>
    <x v="3"/>
    <x v="10"/>
    <x v="0"/>
    <x v="694"/>
    <x v="299"/>
  </r>
  <r>
    <x v="20"/>
    <x v="5"/>
    <x v="5"/>
    <x v="10"/>
    <x v="695"/>
    <x v="304"/>
  </r>
  <r>
    <x v="1"/>
    <x v="2"/>
    <x v="19"/>
    <x v="29"/>
    <x v="696"/>
    <x v="65"/>
  </r>
  <r>
    <x v="15"/>
    <x v="3"/>
    <x v="2"/>
    <x v="17"/>
    <x v="268"/>
    <x v="290"/>
  </r>
  <r>
    <x v="16"/>
    <x v="0"/>
    <x v="20"/>
    <x v="98"/>
    <x v="697"/>
    <x v="274"/>
  </r>
  <r>
    <x v="0"/>
    <x v="0"/>
    <x v="9"/>
    <x v="152"/>
    <x v="698"/>
    <x v="359"/>
  </r>
  <r>
    <x v="12"/>
    <x v="1"/>
    <x v="15"/>
    <x v="141"/>
    <x v="699"/>
    <x v="92"/>
  </r>
  <r>
    <x v="5"/>
    <x v="0"/>
    <x v="18"/>
    <x v="30"/>
    <x v="345"/>
    <x v="48"/>
  </r>
  <r>
    <x v="5"/>
    <x v="0"/>
    <x v="3"/>
    <x v="127"/>
    <x v="700"/>
    <x v="265"/>
  </r>
  <r>
    <x v="21"/>
    <x v="5"/>
    <x v="7"/>
    <x v="20"/>
    <x v="701"/>
    <x v="138"/>
  </r>
  <r>
    <x v="0"/>
    <x v="0"/>
    <x v="1"/>
    <x v="2"/>
    <x v="306"/>
    <x v="360"/>
  </r>
  <r>
    <x v="4"/>
    <x v="0"/>
    <x v="21"/>
    <x v="83"/>
    <x v="570"/>
    <x v="67"/>
  </r>
  <r>
    <x v="20"/>
    <x v="0"/>
    <x v="4"/>
    <x v="153"/>
    <x v="702"/>
    <x v="280"/>
  </r>
  <r>
    <x v="2"/>
    <x v="3"/>
    <x v="5"/>
    <x v="104"/>
    <x v="703"/>
    <x v="67"/>
  </r>
  <r>
    <x v="4"/>
    <x v="2"/>
    <x v="6"/>
    <x v="141"/>
    <x v="704"/>
    <x v="28"/>
  </r>
  <r>
    <x v="4"/>
    <x v="5"/>
    <x v="6"/>
    <x v="132"/>
    <x v="705"/>
    <x v="68"/>
  </r>
  <r>
    <x v="8"/>
    <x v="4"/>
    <x v="14"/>
    <x v="140"/>
    <x v="706"/>
    <x v="22"/>
  </r>
  <r>
    <x v="7"/>
    <x v="3"/>
    <x v="4"/>
    <x v="112"/>
    <x v="641"/>
    <x v="147"/>
  </r>
  <r>
    <x v="14"/>
    <x v="2"/>
    <x v="20"/>
    <x v="15"/>
    <x v="707"/>
    <x v="17"/>
  </r>
  <r>
    <x v="14"/>
    <x v="3"/>
    <x v="1"/>
    <x v="65"/>
    <x v="708"/>
    <x v="142"/>
  </r>
  <r>
    <x v="8"/>
    <x v="3"/>
    <x v="3"/>
    <x v="6"/>
    <x v="7"/>
    <x v="225"/>
  </r>
  <r>
    <x v="24"/>
    <x v="0"/>
    <x v="1"/>
    <x v="44"/>
    <x v="709"/>
    <x v="129"/>
  </r>
  <r>
    <x v="17"/>
    <x v="2"/>
    <x v="9"/>
    <x v="57"/>
    <x v="710"/>
    <x v="275"/>
  </r>
  <r>
    <x v="13"/>
    <x v="4"/>
    <x v="11"/>
    <x v="45"/>
    <x v="243"/>
    <x v="171"/>
  </r>
  <r>
    <x v="3"/>
    <x v="1"/>
    <x v="5"/>
    <x v="22"/>
    <x v="711"/>
    <x v="291"/>
  </r>
  <r>
    <x v="5"/>
    <x v="4"/>
    <x v="5"/>
    <x v="88"/>
    <x v="712"/>
    <x v="237"/>
  </r>
  <r>
    <x v="24"/>
    <x v="1"/>
    <x v="7"/>
    <x v="17"/>
    <x v="713"/>
    <x v="172"/>
  </r>
  <r>
    <x v="9"/>
    <x v="0"/>
    <x v="15"/>
    <x v="26"/>
    <x v="13"/>
    <x v="146"/>
  </r>
  <r>
    <x v="8"/>
    <x v="2"/>
    <x v="17"/>
    <x v="48"/>
    <x v="714"/>
    <x v="149"/>
  </r>
  <r>
    <x v="18"/>
    <x v="4"/>
    <x v="9"/>
    <x v="107"/>
    <x v="715"/>
    <x v="325"/>
  </r>
  <r>
    <x v="18"/>
    <x v="1"/>
    <x v="8"/>
    <x v="75"/>
    <x v="158"/>
    <x v="151"/>
  </r>
  <r>
    <x v="18"/>
    <x v="1"/>
    <x v="5"/>
    <x v="117"/>
    <x v="716"/>
    <x v="361"/>
  </r>
  <r>
    <x v="20"/>
    <x v="1"/>
    <x v="4"/>
    <x v="44"/>
    <x v="443"/>
    <x v="66"/>
  </r>
  <r>
    <x v="5"/>
    <x v="5"/>
    <x v="12"/>
    <x v="16"/>
    <x v="717"/>
    <x v="129"/>
  </r>
  <r>
    <x v="22"/>
    <x v="5"/>
    <x v="2"/>
    <x v="25"/>
    <x v="718"/>
    <x v="23"/>
  </r>
  <r>
    <x v="16"/>
    <x v="3"/>
    <x v="8"/>
    <x v="167"/>
    <x v="719"/>
    <x v="55"/>
  </r>
  <r>
    <x v="24"/>
    <x v="3"/>
    <x v="9"/>
    <x v="17"/>
    <x v="720"/>
    <x v="295"/>
  </r>
  <r>
    <x v="14"/>
    <x v="0"/>
    <x v="9"/>
    <x v="97"/>
    <x v="270"/>
    <x v="56"/>
  </r>
  <r>
    <x v="20"/>
    <x v="1"/>
    <x v="17"/>
    <x v="86"/>
    <x v="721"/>
    <x v="256"/>
  </r>
  <r>
    <x v="23"/>
    <x v="2"/>
    <x v="18"/>
    <x v="100"/>
    <x v="722"/>
    <x v="227"/>
  </r>
  <r>
    <x v="16"/>
    <x v="0"/>
    <x v="6"/>
    <x v="84"/>
    <x v="723"/>
    <x v="274"/>
  </r>
  <r>
    <x v="13"/>
    <x v="5"/>
    <x v="18"/>
    <x v="29"/>
    <x v="724"/>
    <x v="156"/>
  </r>
  <r>
    <x v="24"/>
    <x v="1"/>
    <x v="6"/>
    <x v="35"/>
    <x v="445"/>
    <x v="340"/>
  </r>
  <r>
    <x v="4"/>
    <x v="5"/>
    <x v="2"/>
    <x v="76"/>
    <x v="725"/>
    <x v="92"/>
  </r>
  <r>
    <x v="4"/>
    <x v="0"/>
    <x v="14"/>
    <x v="19"/>
    <x v="726"/>
    <x v="12"/>
  </r>
  <r>
    <x v="8"/>
    <x v="1"/>
    <x v="5"/>
    <x v="99"/>
    <x v="727"/>
    <x v="176"/>
  </r>
  <r>
    <x v="18"/>
    <x v="5"/>
    <x v="3"/>
    <x v="34"/>
    <x v="728"/>
    <x v="185"/>
  </r>
  <r>
    <x v="7"/>
    <x v="1"/>
    <x v="0"/>
    <x v="14"/>
    <x v="381"/>
    <x v="243"/>
  </r>
  <r>
    <x v="7"/>
    <x v="5"/>
    <x v="4"/>
    <x v="52"/>
    <x v="729"/>
    <x v="42"/>
  </r>
  <r>
    <x v="1"/>
    <x v="2"/>
    <x v="21"/>
    <x v="53"/>
    <x v="730"/>
    <x v="130"/>
  </r>
  <r>
    <x v="12"/>
    <x v="4"/>
    <x v="21"/>
    <x v="19"/>
    <x v="560"/>
    <x v="24"/>
  </r>
  <r>
    <x v="8"/>
    <x v="5"/>
    <x v="7"/>
    <x v="30"/>
    <x v="42"/>
    <x v="45"/>
  </r>
  <r>
    <x v="13"/>
    <x v="2"/>
    <x v="1"/>
    <x v="51"/>
    <x v="731"/>
    <x v="88"/>
  </r>
  <r>
    <x v="4"/>
    <x v="1"/>
    <x v="12"/>
    <x v="18"/>
    <x v="732"/>
    <x v="20"/>
  </r>
  <r>
    <x v="3"/>
    <x v="0"/>
    <x v="15"/>
    <x v="61"/>
    <x v="224"/>
    <x v="122"/>
  </r>
  <r>
    <x v="16"/>
    <x v="2"/>
    <x v="5"/>
    <x v="70"/>
    <x v="120"/>
    <x v="362"/>
  </r>
  <r>
    <x v="18"/>
    <x v="5"/>
    <x v="13"/>
    <x v="115"/>
    <x v="553"/>
    <x v="67"/>
  </r>
  <r>
    <x v="18"/>
    <x v="0"/>
    <x v="11"/>
    <x v="56"/>
    <x v="733"/>
    <x v="81"/>
  </r>
  <r>
    <x v="4"/>
    <x v="5"/>
    <x v="13"/>
    <x v="102"/>
    <x v="554"/>
    <x v="191"/>
  </r>
  <r>
    <x v="17"/>
    <x v="4"/>
    <x v="19"/>
    <x v="155"/>
    <x v="734"/>
    <x v="322"/>
  </r>
  <r>
    <x v="22"/>
    <x v="4"/>
    <x v="16"/>
    <x v="106"/>
    <x v="735"/>
    <x v="51"/>
  </r>
  <r>
    <x v="1"/>
    <x v="3"/>
    <x v="6"/>
    <x v="36"/>
    <x v="736"/>
    <x v="71"/>
  </r>
  <r>
    <x v="10"/>
    <x v="5"/>
    <x v="20"/>
    <x v="52"/>
    <x v="737"/>
    <x v="363"/>
  </r>
  <r>
    <x v="22"/>
    <x v="2"/>
    <x v="17"/>
    <x v="57"/>
    <x v="738"/>
    <x v="20"/>
  </r>
  <r>
    <x v="7"/>
    <x v="0"/>
    <x v="12"/>
    <x v="13"/>
    <x v="739"/>
    <x v="32"/>
  </r>
  <r>
    <x v="14"/>
    <x v="0"/>
    <x v="2"/>
    <x v="162"/>
    <x v="740"/>
    <x v="364"/>
  </r>
  <r>
    <x v="20"/>
    <x v="3"/>
    <x v="14"/>
    <x v="100"/>
    <x v="741"/>
    <x v="31"/>
  </r>
  <r>
    <x v="12"/>
    <x v="5"/>
    <x v="13"/>
    <x v="15"/>
    <x v="742"/>
    <x v="0"/>
  </r>
  <r>
    <x v="9"/>
    <x v="1"/>
    <x v="14"/>
    <x v="68"/>
    <x v="743"/>
    <x v="261"/>
  </r>
  <r>
    <x v="6"/>
    <x v="0"/>
    <x v="9"/>
    <x v="59"/>
    <x v="744"/>
    <x v="32"/>
  </r>
  <r>
    <x v="0"/>
    <x v="1"/>
    <x v="2"/>
    <x v="49"/>
    <x v="745"/>
    <x v="365"/>
  </r>
  <r>
    <x v="4"/>
    <x v="4"/>
    <x v="16"/>
    <x v="33"/>
    <x v="412"/>
    <x v="97"/>
  </r>
  <r>
    <x v="15"/>
    <x v="1"/>
    <x v="8"/>
    <x v="24"/>
    <x v="746"/>
    <x v="204"/>
  </r>
  <r>
    <x v="6"/>
    <x v="0"/>
    <x v="12"/>
    <x v="63"/>
    <x v="747"/>
    <x v="204"/>
  </r>
  <r>
    <x v="4"/>
    <x v="2"/>
    <x v="15"/>
    <x v="14"/>
    <x v="748"/>
    <x v="151"/>
  </r>
  <r>
    <x v="12"/>
    <x v="1"/>
    <x v="14"/>
    <x v="9"/>
    <x v="749"/>
    <x v="89"/>
  </r>
  <r>
    <x v="24"/>
    <x v="1"/>
    <x v="16"/>
    <x v="100"/>
    <x v="750"/>
    <x v="7"/>
  </r>
  <r>
    <x v="2"/>
    <x v="2"/>
    <x v="3"/>
    <x v="6"/>
    <x v="751"/>
    <x v="366"/>
  </r>
  <r>
    <x v="21"/>
    <x v="4"/>
    <x v="1"/>
    <x v="91"/>
    <x v="752"/>
    <x v="148"/>
  </r>
  <r>
    <x v="21"/>
    <x v="4"/>
    <x v="8"/>
    <x v="39"/>
    <x v="416"/>
    <x v="286"/>
  </r>
  <r>
    <x v="22"/>
    <x v="3"/>
    <x v="14"/>
    <x v="38"/>
    <x v="543"/>
    <x v="194"/>
  </r>
  <r>
    <x v="1"/>
    <x v="1"/>
    <x v="5"/>
    <x v="19"/>
    <x v="168"/>
    <x v="307"/>
  </r>
  <r>
    <x v="15"/>
    <x v="1"/>
    <x v="7"/>
    <x v="30"/>
    <x v="149"/>
    <x v="91"/>
  </r>
  <r>
    <x v="0"/>
    <x v="1"/>
    <x v="16"/>
    <x v="128"/>
    <x v="753"/>
    <x v="149"/>
  </r>
  <r>
    <x v="10"/>
    <x v="2"/>
    <x v="17"/>
    <x v="62"/>
    <x v="366"/>
    <x v="107"/>
  </r>
  <r>
    <x v="21"/>
    <x v="3"/>
    <x v="4"/>
    <x v="56"/>
    <x v="754"/>
    <x v="16"/>
  </r>
  <r>
    <x v="2"/>
    <x v="2"/>
    <x v="7"/>
    <x v="87"/>
    <x v="755"/>
    <x v="13"/>
  </r>
  <r>
    <x v="20"/>
    <x v="0"/>
    <x v="9"/>
    <x v="8"/>
    <x v="756"/>
    <x v="47"/>
  </r>
  <r>
    <x v="9"/>
    <x v="5"/>
    <x v="20"/>
    <x v="39"/>
    <x v="634"/>
    <x v="367"/>
  </r>
  <r>
    <x v="15"/>
    <x v="2"/>
    <x v="10"/>
    <x v="143"/>
    <x v="38"/>
    <x v="191"/>
  </r>
  <r>
    <x v="6"/>
    <x v="2"/>
    <x v="14"/>
    <x v="74"/>
    <x v="678"/>
    <x v="108"/>
  </r>
  <r>
    <x v="23"/>
    <x v="1"/>
    <x v="2"/>
    <x v="17"/>
    <x v="757"/>
    <x v="7"/>
  </r>
  <r>
    <x v="17"/>
    <x v="0"/>
    <x v="4"/>
    <x v="21"/>
    <x v="758"/>
    <x v="103"/>
  </r>
  <r>
    <x v="2"/>
    <x v="3"/>
    <x v="6"/>
    <x v="28"/>
    <x v="759"/>
    <x v="360"/>
  </r>
  <r>
    <x v="2"/>
    <x v="4"/>
    <x v="11"/>
    <x v="86"/>
    <x v="114"/>
    <x v="32"/>
  </r>
  <r>
    <x v="6"/>
    <x v="0"/>
    <x v="20"/>
    <x v="72"/>
    <x v="760"/>
    <x v="58"/>
  </r>
  <r>
    <x v="14"/>
    <x v="3"/>
    <x v="2"/>
    <x v="111"/>
    <x v="761"/>
    <x v="368"/>
  </r>
  <r>
    <x v="14"/>
    <x v="3"/>
    <x v="6"/>
    <x v="59"/>
    <x v="762"/>
    <x v="243"/>
  </r>
  <r>
    <x v="12"/>
    <x v="5"/>
    <x v="9"/>
    <x v="25"/>
    <x v="366"/>
    <x v="105"/>
  </r>
  <r>
    <x v="8"/>
    <x v="4"/>
    <x v="20"/>
    <x v="96"/>
    <x v="763"/>
    <x v="369"/>
  </r>
  <r>
    <x v="9"/>
    <x v="5"/>
    <x v="16"/>
    <x v="65"/>
    <x v="764"/>
    <x v="370"/>
  </r>
  <r>
    <x v="4"/>
    <x v="4"/>
    <x v="9"/>
    <x v="54"/>
    <x v="265"/>
    <x v="110"/>
  </r>
  <r>
    <x v="6"/>
    <x v="3"/>
    <x v="8"/>
    <x v="36"/>
    <x v="765"/>
    <x v="369"/>
  </r>
  <r>
    <x v="5"/>
    <x v="3"/>
    <x v="18"/>
    <x v="1"/>
    <x v="766"/>
    <x v="10"/>
  </r>
  <r>
    <x v="5"/>
    <x v="0"/>
    <x v="12"/>
    <x v="17"/>
    <x v="767"/>
    <x v="168"/>
  </r>
  <r>
    <x v="14"/>
    <x v="4"/>
    <x v="5"/>
    <x v="100"/>
    <x v="768"/>
    <x v="309"/>
  </r>
  <r>
    <x v="4"/>
    <x v="1"/>
    <x v="18"/>
    <x v="15"/>
    <x v="92"/>
    <x v="371"/>
  </r>
  <r>
    <x v="24"/>
    <x v="2"/>
    <x v="2"/>
    <x v="22"/>
    <x v="769"/>
    <x v="238"/>
  </r>
  <r>
    <x v="4"/>
    <x v="2"/>
    <x v="12"/>
    <x v="151"/>
    <x v="770"/>
    <x v="135"/>
  </r>
  <r>
    <x v="0"/>
    <x v="5"/>
    <x v="15"/>
    <x v="16"/>
    <x v="771"/>
    <x v="168"/>
  </r>
  <r>
    <x v="21"/>
    <x v="5"/>
    <x v="9"/>
    <x v="150"/>
    <x v="772"/>
    <x v="79"/>
  </r>
  <r>
    <x v="16"/>
    <x v="4"/>
    <x v="12"/>
    <x v="108"/>
    <x v="572"/>
    <x v="95"/>
  </r>
  <r>
    <x v="11"/>
    <x v="3"/>
    <x v="21"/>
    <x v="15"/>
    <x v="773"/>
    <x v="224"/>
  </r>
  <r>
    <x v="13"/>
    <x v="3"/>
    <x v="4"/>
    <x v="158"/>
    <x v="593"/>
    <x v="215"/>
  </r>
  <r>
    <x v="4"/>
    <x v="3"/>
    <x v="1"/>
    <x v="131"/>
    <x v="475"/>
    <x v="184"/>
  </r>
  <r>
    <x v="23"/>
    <x v="3"/>
    <x v="7"/>
    <x v="117"/>
    <x v="62"/>
    <x v="136"/>
  </r>
  <r>
    <x v="19"/>
    <x v="3"/>
    <x v="16"/>
    <x v="16"/>
    <x v="774"/>
    <x v="191"/>
  </r>
  <r>
    <x v="10"/>
    <x v="2"/>
    <x v="4"/>
    <x v="14"/>
    <x v="629"/>
    <x v="291"/>
  </r>
  <r>
    <x v="16"/>
    <x v="0"/>
    <x v="5"/>
    <x v="104"/>
    <x v="775"/>
    <x v="6"/>
  </r>
  <r>
    <x v="16"/>
    <x v="5"/>
    <x v="5"/>
    <x v="38"/>
    <x v="673"/>
    <x v="19"/>
  </r>
  <r>
    <x v="16"/>
    <x v="0"/>
    <x v="9"/>
    <x v="59"/>
    <x v="311"/>
    <x v="272"/>
  </r>
  <r>
    <x v="7"/>
    <x v="0"/>
    <x v="6"/>
    <x v="17"/>
    <x v="776"/>
    <x v="238"/>
  </r>
  <r>
    <x v="23"/>
    <x v="4"/>
    <x v="17"/>
    <x v="67"/>
    <x v="553"/>
    <x v="106"/>
  </r>
  <r>
    <x v="10"/>
    <x v="4"/>
    <x v="14"/>
    <x v="32"/>
    <x v="777"/>
    <x v="236"/>
  </r>
  <r>
    <x v="4"/>
    <x v="4"/>
    <x v="12"/>
    <x v="64"/>
    <x v="299"/>
    <x v="184"/>
  </r>
  <r>
    <x v="9"/>
    <x v="2"/>
    <x v="3"/>
    <x v="58"/>
    <x v="778"/>
    <x v="176"/>
  </r>
  <r>
    <x v="16"/>
    <x v="5"/>
    <x v="10"/>
    <x v="96"/>
    <x v="779"/>
    <x v="125"/>
  </r>
  <r>
    <x v="11"/>
    <x v="4"/>
    <x v="2"/>
    <x v="26"/>
    <x v="780"/>
    <x v="313"/>
  </r>
  <r>
    <x v="17"/>
    <x v="0"/>
    <x v="3"/>
    <x v="151"/>
    <x v="781"/>
    <x v="42"/>
  </r>
  <r>
    <x v="6"/>
    <x v="2"/>
    <x v="10"/>
    <x v="42"/>
    <x v="130"/>
    <x v="79"/>
  </r>
  <r>
    <x v="12"/>
    <x v="1"/>
    <x v="10"/>
    <x v="130"/>
    <x v="782"/>
    <x v="332"/>
  </r>
  <r>
    <x v="17"/>
    <x v="2"/>
    <x v="19"/>
    <x v="124"/>
    <x v="783"/>
    <x v="372"/>
  </r>
  <r>
    <x v="12"/>
    <x v="0"/>
    <x v="6"/>
    <x v="24"/>
    <x v="784"/>
    <x v="322"/>
  </r>
  <r>
    <x v="1"/>
    <x v="0"/>
    <x v="16"/>
    <x v="5"/>
    <x v="785"/>
    <x v="259"/>
  </r>
  <r>
    <x v="23"/>
    <x v="0"/>
    <x v="20"/>
    <x v="50"/>
    <x v="751"/>
    <x v="309"/>
  </r>
  <r>
    <x v="18"/>
    <x v="2"/>
    <x v="3"/>
    <x v="0"/>
    <x v="786"/>
    <x v="106"/>
  </r>
  <r>
    <x v="19"/>
    <x v="5"/>
    <x v="21"/>
    <x v="70"/>
    <x v="787"/>
    <x v="303"/>
  </r>
  <r>
    <x v="8"/>
    <x v="0"/>
    <x v="11"/>
    <x v="52"/>
    <x v="788"/>
    <x v="161"/>
  </r>
  <r>
    <x v="1"/>
    <x v="5"/>
    <x v="9"/>
    <x v="26"/>
    <x v="789"/>
    <x v="373"/>
  </r>
  <r>
    <x v="0"/>
    <x v="2"/>
    <x v="5"/>
    <x v="15"/>
    <x v="681"/>
    <x v="99"/>
  </r>
  <r>
    <x v="15"/>
    <x v="0"/>
    <x v="5"/>
    <x v="25"/>
    <x v="702"/>
    <x v="374"/>
  </r>
  <r>
    <x v="8"/>
    <x v="1"/>
    <x v="0"/>
    <x v="89"/>
    <x v="685"/>
    <x v="375"/>
  </r>
  <r>
    <x v="14"/>
    <x v="1"/>
    <x v="0"/>
    <x v="150"/>
    <x v="790"/>
    <x v="109"/>
  </r>
  <r>
    <x v="0"/>
    <x v="3"/>
    <x v="11"/>
    <x v="43"/>
    <x v="791"/>
    <x v="43"/>
  </r>
  <r>
    <x v="5"/>
    <x v="1"/>
    <x v="20"/>
    <x v="12"/>
    <x v="792"/>
    <x v="132"/>
  </r>
  <r>
    <x v="14"/>
    <x v="0"/>
    <x v="15"/>
    <x v="64"/>
    <x v="793"/>
    <x v="85"/>
  </r>
  <r>
    <x v="19"/>
    <x v="1"/>
    <x v="7"/>
    <x v="21"/>
    <x v="733"/>
    <x v="372"/>
  </r>
  <r>
    <x v="9"/>
    <x v="2"/>
    <x v="17"/>
    <x v="91"/>
    <x v="794"/>
    <x v="103"/>
  </r>
  <r>
    <x v="12"/>
    <x v="5"/>
    <x v="1"/>
    <x v="17"/>
    <x v="795"/>
    <x v="121"/>
  </r>
  <r>
    <x v="20"/>
    <x v="2"/>
    <x v="9"/>
    <x v="116"/>
    <x v="325"/>
    <x v="203"/>
  </r>
  <r>
    <x v="1"/>
    <x v="5"/>
    <x v="21"/>
    <x v="34"/>
    <x v="796"/>
    <x v="376"/>
  </r>
  <r>
    <x v="17"/>
    <x v="4"/>
    <x v="20"/>
    <x v="36"/>
    <x v="311"/>
    <x v="377"/>
  </r>
  <r>
    <x v="12"/>
    <x v="3"/>
    <x v="12"/>
    <x v="76"/>
    <x v="79"/>
    <x v="203"/>
  </r>
  <r>
    <x v="3"/>
    <x v="0"/>
    <x v="16"/>
    <x v="47"/>
    <x v="636"/>
    <x v="21"/>
  </r>
  <r>
    <x v="15"/>
    <x v="1"/>
    <x v="17"/>
    <x v="26"/>
    <x v="797"/>
    <x v="163"/>
  </r>
  <r>
    <x v="23"/>
    <x v="1"/>
    <x v="0"/>
    <x v="49"/>
    <x v="798"/>
    <x v="312"/>
  </r>
  <r>
    <x v="21"/>
    <x v="1"/>
    <x v="9"/>
    <x v="115"/>
    <x v="799"/>
    <x v="22"/>
  </r>
  <r>
    <x v="11"/>
    <x v="0"/>
    <x v="9"/>
    <x v="96"/>
    <x v="800"/>
    <x v="206"/>
  </r>
  <r>
    <x v="13"/>
    <x v="2"/>
    <x v="10"/>
    <x v="9"/>
    <x v="661"/>
    <x v="151"/>
  </r>
  <r>
    <x v="24"/>
    <x v="1"/>
    <x v="4"/>
    <x v="17"/>
    <x v="270"/>
    <x v="109"/>
  </r>
  <r>
    <x v="7"/>
    <x v="5"/>
    <x v="12"/>
    <x v="138"/>
    <x v="801"/>
    <x v="13"/>
  </r>
  <r>
    <x v="1"/>
    <x v="1"/>
    <x v="8"/>
    <x v="129"/>
    <x v="802"/>
    <x v="85"/>
  </r>
  <r>
    <x v="5"/>
    <x v="2"/>
    <x v="4"/>
    <x v="61"/>
    <x v="803"/>
    <x v="309"/>
  </r>
  <r>
    <x v="16"/>
    <x v="4"/>
    <x v="1"/>
    <x v="137"/>
    <x v="604"/>
    <x v="199"/>
  </r>
  <r>
    <x v="21"/>
    <x v="0"/>
    <x v="2"/>
    <x v="40"/>
    <x v="804"/>
    <x v="179"/>
  </r>
  <r>
    <x v="22"/>
    <x v="0"/>
    <x v="2"/>
    <x v="153"/>
    <x v="393"/>
    <x v="243"/>
  </r>
  <r>
    <x v="22"/>
    <x v="4"/>
    <x v="18"/>
    <x v="76"/>
    <x v="161"/>
    <x v="378"/>
  </r>
  <r>
    <x v="11"/>
    <x v="5"/>
    <x v="2"/>
    <x v="121"/>
    <x v="805"/>
    <x v="2"/>
  </r>
  <r>
    <x v="24"/>
    <x v="2"/>
    <x v="18"/>
    <x v="70"/>
    <x v="806"/>
    <x v="92"/>
  </r>
  <r>
    <x v="14"/>
    <x v="5"/>
    <x v="8"/>
    <x v="141"/>
    <x v="704"/>
    <x v="214"/>
  </r>
  <r>
    <x v="13"/>
    <x v="1"/>
    <x v="9"/>
    <x v="106"/>
    <x v="512"/>
    <x v="11"/>
  </r>
  <r>
    <x v="1"/>
    <x v="2"/>
    <x v="0"/>
    <x v="10"/>
    <x v="807"/>
    <x v="379"/>
  </r>
  <r>
    <x v="17"/>
    <x v="4"/>
    <x v="21"/>
    <x v="111"/>
    <x v="529"/>
    <x v="376"/>
  </r>
  <r>
    <x v="19"/>
    <x v="5"/>
    <x v="2"/>
    <x v="17"/>
    <x v="523"/>
    <x v="380"/>
  </r>
  <r>
    <x v="2"/>
    <x v="4"/>
    <x v="21"/>
    <x v="102"/>
    <x v="808"/>
    <x v="126"/>
  </r>
  <r>
    <x v="7"/>
    <x v="2"/>
    <x v="14"/>
    <x v="139"/>
    <x v="809"/>
    <x v="9"/>
  </r>
  <r>
    <x v="13"/>
    <x v="5"/>
    <x v="9"/>
    <x v="134"/>
    <x v="810"/>
    <x v="188"/>
  </r>
  <r>
    <x v="21"/>
    <x v="3"/>
    <x v="1"/>
    <x v="115"/>
    <x v="811"/>
    <x v="53"/>
  </r>
  <r>
    <x v="22"/>
    <x v="5"/>
    <x v="11"/>
    <x v="151"/>
    <x v="812"/>
    <x v="72"/>
  </r>
  <r>
    <x v="22"/>
    <x v="2"/>
    <x v="21"/>
    <x v="35"/>
    <x v="813"/>
    <x v="270"/>
  </r>
  <r>
    <x v="4"/>
    <x v="5"/>
    <x v="8"/>
    <x v="33"/>
    <x v="814"/>
    <x v="381"/>
  </r>
  <r>
    <x v="17"/>
    <x v="5"/>
    <x v="9"/>
    <x v="53"/>
    <x v="815"/>
    <x v="51"/>
  </r>
  <r>
    <x v="9"/>
    <x v="3"/>
    <x v="5"/>
    <x v="116"/>
    <x v="604"/>
    <x v="344"/>
  </r>
  <r>
    <x v="13"/>
    <x v="5"/>
    <x v="14"/>
    <x v="16"/>
    <x v="816"/>
    <x v="382"/>
  </r>
  <r>
    <x v="19"/>
    <x v="1"/>
    <x v="5"/>
    <x v="154"/>
    <x v="652"/>
    <x v="238"/>
  </r>
  <r>
    <x v="13"/>
    <x v="1"/>
    <x v="12"/>
    <x v="127"/>
    <x v="817"/>
    <x v="14"/>
  </r>
  <r>
    <x v="23"/>
    <x v="2"/>
    <x v="14"/>
    <x v="25"/>
    <x v="198"/>
    <x v="266"/>
  </r>
  <r>
    <x v="4"/>
    <x v="5"/>
    <x v="7"/>
    <x v="3"/>
    <x v="518"/>
    <x v="383"/>
  </r>
  <r>
    <x v="16"/>
    <x v="5"/>
    <x v="16"/>
    <x v="153"/>
    <x v="198"/>
    <x v="7"/>
  </r>
  <r>
    <x v="3"/>
    <x v="0"/>
    <x v="19"/>
    <x v="54"/>
    <x v="704"/>
    <x v="310"/>
  </r>
  <r>
    <x v="0"/>
    <x v="0"/>
    <x v="13"/>
    <x v="110"/>
    <x v="818"/>
    <x v="299"/>
  </r>
  <r>
    <x v="17"/>
    <x v="4"/>
    <x v="3"/>
    <x v="65"/>
    <x v="819"/>
    <x v="2"/>
  </r>
  <r>
    <x v="6"/>
    <x v="4"/>
    <x v="17"/>
    <x v="89"/>
    <x v="820"/>
    <x v="275"/>
  </r>
  <r>
    <x v="22"/>
    <x v="3"/>
    <x v="11"/>
    <x v="96"/>
    <x v="821"/>
    <x v="115"/>
  </r>
  <r>
    <x v="13"/>
    <x v="1"/>
    <x v="6"/>
    <x v="22"/>
    <x v="822"/>
    <x v="129"/>
  </r>
  <r>
    <x v="8"/>
    <x v="3"/>
    <x v="4"/>
    <x v="27"/>
    <x v="823"/>
    <x v="210"/>
  </r>
  <r>
    <x v="17"/>
    <x v="5"/>
    <x v="10"/>
    <x v="82"/>
    <x v="824"/>
    <x v="207"/>
  </r>
  <r>
    <x v="12"/>
    <x v="1"/>
    <x v="16"/>
    <x v="27"/>
    <x v="825"/>
    <x v="109"/>
  </r>
  <r>
    <x v="6"/>
    <x v="2"/>
    <x v="2"/>
    <x v="125"/>
    <x v="733"/>
    <x v="342"/>
  </r>
  <r>
    <x v="10"/>
    <x v="2"/>
    <x v="12"/>
    <x v="134"/>
    <x v="826"/>
    <x v="316"/>
  </r>
  <r>
    <x v="0"/>
    <x v="4"/>
    <x v="14"/>
    <x v="76"/>
    <x v="774"/>
    <x v="366"/>
  </r>
  <r>
    <x v="24"/>
    <x v="5"/>
    <x v="10"/>
    <x v="68"/>
    <x v="755"/>
    <x v="384"/>
  </r>
  <r>
    <x v="23"/>
    <x v="1"/>
    <x v="8"/>
    <x v="12"/>
    <x v="506"/>
    <x v="269"/>
  </r>
  <r>
    <x v="10"/>
    <x v="1"/>
    <x v="21"/>
    <x v="123"/>
    <x v="221"/>
    <x v="3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A218F4-4162-4C4A-88E0-7FE5FCFF4C00}" name="PivotTable17"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I30:J37" firstHeaderRow="1" firstDataRow="1" firstDataCol="1"/>
  <pivotFields count="8">
    <pivotField showAll="0"/>
    <pivotField axis="axisRow" showAll="0">
      <items count="7">
        <item x="2"/>
        <item x="5"/>
        <item x="1"/>
        <item x="3"/>
        <item x="0"/>
        <item x="4"/>
        <item t="default"/>
      </items>
    </pivotField>
    <pivotField showAll="0"/>
    <pivotField numFmtId="14"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numFmtId="164" showAll="0"/>
    <pivotField dataField="1" numFmtId="1" showAll="0">
      <items count="386">
        <item x="347"/>
        <item x="236"/>
        <item x="186"/>
        <item x="247"/>
        <item x="262"/>
        <item x="83"/>
        <item x="113"/>
        <item x="305"/>
        <item x="62"/>
        <item x="71"/>
        <item x="11"/>
        <item x="129"/>
        <item x="235"/>
        <item x="37"/>
        <item x="303"/>
        <item x="39"/>
        <item x="45"/>
        <item x="166"/>
        <item x="332"/>
        <item x="69"/>
        <item x="108"/>
        <item x="47"/>
        <item x="51"/>
        <item x="217"/>
        <item x="135"/>
        <item x="103"/>
        <item x="206"/>
        <item x="334"/>
        <item x="117"/>
        <item x="86"/>
        <item x="65"/>
        <item x="314"/>
        <item x="283"/>
        <item x="370"/>
        <item x="175"/>
        <item x="5"/>
        <item x="240"/>
        <item x="91"/>
        <item x="137"/>
        <item x="16"/>
        <item x="146"/>
        <item x="110"/>
        <item x="121"/>
        <item x="106"/>
        <item x="99"/>
        <item x="55"/>
        <item x="282"/>
        <item x="112"/>
        <item x="194"/>
        <item x="193"/>
        <item x="198"/>
        <item x="138"/>
        <item x="53"/>
        <item x="60"/>
        <item x="107"/>
        <item x="204"/>
        <item x="8"/>
        <item x="203"/>
        <item x="169"/>
        <item x="10"/>
        <item x="357"/>
        <item x="360"/>
        <item x="81"/>
        <item x="150"/>
        <item x="274"/>
        <item x="238"/>
        <item x="162"/>
        <item x="33"/>
        <item x="271"/>
        <item x="36"/>
        <item x="7"/>
        <item x="220"/>
        <item x="207"/>
        <item x="151"/>
        <item x="376"/>
        <item x="148"/>
        <item x="159"/>
        <item x="88"/>
        <item x="125"/>
        <item x="72"/>
        <item x="49"/>
        <item x="147"/>
        <item x="243"/>
        <item x="189"/>
        <item x="102"/>
        <item x="20"/>
        <item x="293"/>
        <item x="114"/>
        <item x="2"/>
        <item x="96"/>
        <item x="266"/>
        <item x="1"/>
        <item x="187"/>
        <item x="109"/>
        <item x="82"/>
        <item x="325"/>
        <item x="164"/>
        <item x="149"/>
        <item x="90"/>
        <item x="9"/>
        <item x="61"/>
        <item x="130"/>
        <item x="239"/>
        <item x="85"/>
        <item x="200"/>
        <item x="73"/>
        <item x="176"/>
        <item x="116"/>
        <item x="80"/>
        <item x="27"/>
        <item x="23"/>
        <item x="280"/>
        <item x="24"/>
        <item x="131"/>
        <item x="118"/>
        <item x="105"/>
        <item x="366"/>
        <item x="241"/>
        <item x="30"/>
        <item x="160"/>
        <item x="358"/>
        <item x="328"/>
        <item x="100"/>
        <item x="179"/>
        <item x="197"/>
        <item x="120"/>
        <item x="264"/>
        <item x="284"/>
        <item x="295"/>
        <item x="378"/>
        <item x="32"/>
        <item x="154"/>
        <item x="48"/>
        <item x="128"/>
        <item x="68"/>
        <item x="93"/>
        <item x="182"/>
        <item x="17"/>
        <item x="97"/>
        <item x="42"/>
        <item x="157"/>
        <item x="181"/>
        <item x="136"/>
        <item x="234"/>
        <item x="265"/>
        <item x="58"/>
        <item x="31"/>
        <item x="28"/>
        <item x="212"/>
        <item x="273"/>
        <item x="163"/>
        <item x="277"/>
        <item x="13"/>
        <item x="21"/>
        <item x="191"/>
        <item x="141"/>
        <item x="44"/>
        <item x="306"/>
        <item x="22"/>
        <item x="223"/>
        <item x="364"/>
        <item x="185"/>
        <item x="92"/>
        <item x="291"/>
        <item x="225"/>
        <item x="178"/>
        <item x="333"/>
        <item x="19"/>
        <item x="14"/>
        <item x="56"/>
        <item x="95"/>
        <item x="6"/>
        <item x="233"/>
        <item x="124"/>
        <item x="50"/>
        <item x="0"/>
        <item x="67"/>
        <item x="251"/>
        <item x="215"/>
        <item x="4"/>
        <item x="177"/>
        <item x="26"/>
        <item x="142"/>
        <item x="43"/>
        <item x="302"/>
        <item x="152"/>
        <item x="253"/>
        <item x="275"/>
        <item x="210"/>
        <item x="126"/>
        <item x="216"/>
        <item x="304"/>
        <item x="294"/>
        <item x="168"/>
        <item x="315"/>
        <item x="132"/>
        <item x="214"/>
        <item x="259"/>
        <item x="342"/>
        <item x="307"/>
        <item x="267"/>
        <item x="192"/>
        <item x="140"/>
        <item x="219"/>
        <item x="122"/>
        <item x="261"/>
        <item x="64"/>
        <item x="230"/>
        <item x="174"/>
        <item x="384"/>
        <item x="202"/>
        <item x="301"/>
        <item x="317"/>
        <item x="353"/>
        <item x="226"/>
        <item x="272"/>
        <item x="244"/>
        <item x="54"/>
        <item x="344"/>
        <item x="299"/>
        <item x="257"/>
        <item x="143"/>
        <item x="229"/>
        <item x="309"/>
        <item x="290"/>
        <item x="351"/>
        <item x="196"/>
        <item x="312"/>
        <item x="41"/>
        <item x="190"/>
        <item x="324"/>
        <item x="66"/>
        <item x="170"/>
        <item x="356"/>
        <item x="263"/>
        <item x="156"/>
        <item x="18"/>
        <item x="310"/>
        <item x="171"/>
        <item x="256"/>
        <item x="172"/>
        <item x="242"/>
        <item x="167"/>
        <item x="199"/>
        <item x="270"/>
        <item x="237"/>
        <item x="361"/>
        <item x="79"/>
        <item x="63"/>
        <item x="382"/>
        <item x="298"/>
        <item x="78"/>
        <item x="322"/>
        <item x="119"/>
        <item x="205"/>
        <item x="180"/>
        <item x="321"/>
        <item x="173"/>
        <item x="232"/>
        <item x="249"/>
        <item x="144"/>
        <item x="98"/>
        <item x="227"/>
        <item x="248"/>
        <item x="12"/>
        <item x="297"/>
        <item x="201"/>
        <item x="331"/>
        <item x="300"/>
        <item x="349"/>
        <item x="379"/>
        <item x="89"/>
        <item x="369"/>
        <item x="308"/>
        <item x="29"/>
        <item x="57"/>
        <item x="46"/>
        <item x="363"/>
        <item x="339"/>
        <item x="362"/>
        <item x="343"/>
        <item x="326"/>
        <item x="228"/>
        <item x="348"/>
        <item x="70"/>
        <item x="188"/>
        <item x="340"/>
        <item x="35"/>
        <item x="34"/>
        <item x="268"/>
        <item x="254"/>
        <item x="195"/>
        <item x="380"/>
        <item x="281"/>
        <item x="25"/>
        <item x="250"/>
        <item x="316"/>
        <item x="208"/>
        <item x="246"/>
        <item x="288"/>
        <item x="276"/>
        <item x="231"/>
        <item x="383"/>
        <item x="285"/>
        <item x="245"/>
        <item x="3"/>
        <item x="319"/>
        <item x="287"/>
        <item x="77"/>
        <item x="313"/>
        <item x="329"/>
        <item x="224"/>
        <item x="279"/>
        <item x="40"/>
        <item x="15"/>
        <item x="155"/>
        <item x="87"/>
        <item x="311"/>
        <item x="371"/>
        <item x="221"/>
        <item x="139"/>
        <item x="213"/>
        <item x="341"/>
        <item x="374"/>
        <item x="269"/>
        <item x="111"/>
        <item x="134"/>
        <item x="158"/>
        <item x="286"/>
        <item x="209"/>
        <item x="101"/>
        <item x="327"/>
        <item x="74"/>
        <item x="292"/>
        <item x="115"/>
        <item x="183"/>
        <item x="278"/>
        <item x="75"/>
        <item x="222"/>
        <item x="255"/>
        <item x="59"/>
        <item x="350"/>
        <item x="218"/>
        <item x="52"/>
        <item x="184"/>
        <item x="133"/>
        <item x="335"/>
        <item x="76"/>
        <item x="372"/>
        <item x="153"/>
        <item x="345"/>
        <item x="161"/>
        <item x="289"/>
        <item x="165"/>
        <item x="368"/>
        <item x="359"/>
        <item x="365"/>
        <item x="127"/>
        <item x="336"/>
        <item x="377"/>
        <item x="375"/>
        <item x="252"/>
        <item x="354"/>
        <item x="260"/>
        <item x="145"/>
        <item x="123"/>
        <item x="296"/>
        <item x="84"/>
        <item x="318"/>
        <item x="346"/>
        <item x="323"/>
        <item x="320"/>
        <item x="355"/>
        <item x="94"/>
        <item x="337"/>
        <item x="367"/>
        <item x="258"/>
        <item x="104"/>
        <item x="211"/>
        <item x="38"/>
        <item x="381"/>
        <item x="338"/>
        <item x="352"/>
        <item x="330"/>
        <item x="373"/>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7">
    <i>
      <x/>
    </i>
    <i>
      <x v="1"/>
    </i>
    <i>
      <x v="2"/>
    </i>
    <i>
      <x v="3"/>
    </i>
    <i>
      <x v="4"/>
    </i>
    <i>
      <x v="5"/>
    </i>
    <i t="grand">
      <x/>
    </i>
  </rowItems>
  <colItems count="1">
    <i/>
  </colItems>
  <dataFields count="1">
    <dataField name="Sum of Boxes Shipped" fld="5" baseField="0" baseItem="0" numFmtId="1"/>
  </dataFields>
  <chartFormats count="8">
    <chartFormat chart="0" format="0"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 count="1" selected="0">
            <x v="0"/>
          </reference>
        </references>
      </pivotArea>
    </chartFormat>
    <chartFormat chart="7" format="10">
      <pivotArea type="data" outline="0" fieldPosition="0">
        <references count="2">
          <reference field="4294967294" count="1" selected="0">
            <x v="0"/>
          </reference>
          <reference field="1" count="1" selected="0">
            <x v="1"/>
          </reference>
        </references>
      </pivotArea>
    </chartFormat>
    <chartFormat chart="7" format="11">
      <pivotArea type="data" outline="0" fieldPosition="0">
        <references count="2">
          <reference field="4294967294" count="1" selected="0">
            <x v="0"/>
          </reference>
          <reference field="1" count="1" selected="0">
            <x v="2"/>
          </reference>
        </references>
      </pivotArea>
    </chartFormat>
    <chartFormat chart="7" format="12">
      <pivotArea type="data" outline="0" fieldPosition="0">
        <references count="2">
          <reference field="4294967294" count="1" selected="0">
            <x v="0"/>
          </reference>
          <reference field="1" count="1" selected="0">
            <x v="3"/>
          </reference>
        </references>
      </pivotArea>
    </chartFormat>
    <chartFormat chart="7" format="13">
      <pivotArea type="data" outline="0" fieldPosition="0">
        <references count="2">
          <reference field="4294967294" count="1" selected="0">
            <x v="0"/>
          </reference>
          <reference field="1" count="1" selected="0">
            <x v="4"/>
          </reference>
        </references>
      </pivotArea>
    </chartFormat>
    <chartFormat chart="7"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C36D73-722C-49FD-BA9E-779567476CF3}" name="PivotTable16"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0:F53" firstHeaderRow="1" firstDataRow="1" firstDataCol="1"/>
  <pivotFields count="8">
    <pivotField dataField="1" showAll="0"/>
    <pivotField showAll="0">
      <items count="7">
        <item x="2"/>
        <item x="5"/>
        <item x="1"/>
        <item x="3"/>
        <item x="0"/>
        <item x="4"/>
        <item t="default"/>
      </items>
    </pivotField>
    <pivotField axis="axisRow" showAll="0" sortType="descending">
      <items count="23">
        <item x="6"/>
        <item x="21"/>
        <item x="1"/>
        <item x="4"/>
        <item x="5"/>
        <item x="16"/>
        <item x="19"/>
        <item x="20"/>
        <item x="18"/>
        <item x="9"/>
        <item x="8"/>
        <item x="13"/>
        <item x="15"/>
        <item x="11"/>
        <item x="0"/>
        <item x="7"/>
        <item x="10"/>
        <item x="2"/>
        <item x="17"/>
        <item x="3"/>
        <item x="12"/>
        <item x="14"/>
        <item t="default"/>
      </items>
      <autoSortScope>
        <pivotArea dataOnly="0" outline="0" fieldPosition="0">
          <references count="1">
            <reference field="4294967294" count="1" selected="0">
              <x v="0"/>
            </reference>
          </references>
        </pivotArea>
      </autoSortScope>
    </pivotField>
    <pivotField numFmtId="14"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numFmtId="164" showAll="0"/>
    <pivotField numFmtI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23">
    <i>
      <x/>
    </i>
    <i>
      <x v="10"/>
    </i>
    <i>
      <x v="19"/>
    </i>
    <i>
      <x v="21"/>
    </i>
    <i>
      <x v="9"/>
    </i>
    <i>
      <x v="20"/>
    </i>
    <i>
      <x v="16"/>
    </i>
    <i>
      <x v="4"/>
    </i>
    <i>
      <x v="2"/>
    </i>
    <i>
      <x v="11"/>
    </i>
    <i>
      <x v="3"/>
    </i>
    <i>
      <x v="17"/>
    </i>
    <i>
      <x v="13"/>
    </i>
    <i>
      <x v="18"/>
    </i>
    <i>
      <x v="5"/>
    </i>
    <i>
      <x v="15"/>
    </i>
    <i>
      <x v="12"/>
    </i>
    <i>
      <x v="14"/>
    </i>
    <i>
      <x v="7"/>
    </i>
    <i>
      <x v="1"/>
    </i>
    <i>
      <x v="6"/>
    </i>
    <i>
      <x v="8"/>
    </i>
    <i t="grand">
      <x/>
    </i>
  </rowItems>
  <colItems count="1">
    <i/>
  </colItems>
  <dataFields count="1">
    <dataField name="Count of Sales Pers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4DD8DB-6C4B-4000-B46C-52590A103DF0}" name="PivotTable2"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BA1:BB27" firstHeaderRow="1" firstDataRow="1" firstDataCol="1"/>
  <pivotFields count="8">
    <pivotField axis="axisRow" showAll="0" sortType="descending">
      <items count="26">
        <item x="19"/>
        <item x="8"/>
        <item x="12"/>
        <item x="6"/>
        <item x="21"/>
        <item x="24"/>
        <item x="14"/>
        <item x="17"/>
        <item x="23"/>
        <item x="2"/>
        <item x="5"/>
        <item x="15"/>
        <item x="3"/>
        <item x="0"/>
        <item x="16"/>
        <item x="10"/>
        <item x="20"/>
        <item x="22"/>
        <item x="9"/>
        <item x="11"/>
        <item x="4"/>
        <item x="7"/>
        <item x="13"/>
        <item x="1"/>
        <item x="18"/>
        <item t="default"/>
      </items>
      <autoSortScope>
        <pivotArea dataOnly="0" outline="0" fieldPosition="0">
          <references count="1">
            <reference field="4294967294" count="1" selected="0">
              <x v="0"/>
            </reference>
          </references>
        </pivotArea>
      </autoSortScope>
    </pivotField>
    <pivotField showAll="0">
      <items count="7">
        <item x="2"/>
        <item x="5"/>
        <item x="1"/>
        <item x="3"/>
        <item x="0"/>
        <item x="4"/>
        <item t="default"/>
      </items>
    </pivotField>
    <pivotField showAll="0"/>
    <pivotField numFmtId="14"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dataField="1" numFmtId="164" showAll="0"/>
    <pivotField numFmtId="1"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26">
    <i>
      <x v="16"/>
    </i>
    <i>
      <x v="6"/>
    </i>
    <i>
      <x v="7"/>
    </i>
    <i>
      <x v="9"/>
    </i>
    <i>
      <x v="15"/>
    </i>
    <i>
      <x v="2"/>
    </i>
    <i>
      <x v="23"/>
    </i>
    <i>
      <x/>
    </i>
    <i>
      <x v="11"/>
    </i>
    <i>
      <x v="5"/>
    </i>
    <i>
      <x v="19"/>
    </i>
    <i>
      <x v="21"/>
    </i>
    <i>
      <x v="24"/>
    </i>
    <i>
      <x v="10"/>
    </i>
    <i>
      <x v="3"/>
    </i>
    <i>
      <x v="18"/>
    </i>
    <i>
      <x v="12"/>
    </i>
    <i>
      <x v="8"/>
    </i>
    <i>
      <x v="4"/>
    </i>
    <i>
      <x v="1"/>
    </i>
    <i>
      <x v="20"/>
    </i>
    <i>
      <x v="13"/>
    </i>
    <i>
      <x v="22"/>
    </i>
    <i>
      <x v="14"/>
    </i>
    <i>
      <x v="17"/>
    </i>
    <i t="grand">
      <x/>
    </i>
  </rowItems>
  <colItems count="1">
    <i/>
  </colItems>
  <dataFields count="1">
    <dataField name="Sum of Amount"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B41163-49F5-4D54-9059-3398B4DCFE8F}" name="PivotTable1"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O1:AP8" firstHeaderRow="1" firstDataRow="1" firstDataCol="1"/>
  <pivotFields count="8">
    <pivotField showAll="0"/>
    <pivotField axis="axisRow" showAll="0">
      <items count="7">
        <item x="2"/>
        <item x="5"/>
        <item x="1"/>
        <item x="3"/>
        <item x="0"/>
        <item x="4"/>
        <item t="default"/>
      </items>
    </pivotField>
    <pivotField showAll="0"/>
    <pivotField numFmtId="14"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dataField="1" numFmtId="164" showAll="0"/>
    <pivotField numFmtI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7">
    <i>
      <x/>
    </i>
    <i>
      <x v="1"/>
    </i>
    <i>
      <x v="2"/>
    </i>
    <i>
      <x v="3"/>
    </i>
    <i>
      <x v="4"/>
    </i>
    <i>
      <x v="5"/>
    </i>
    <i t="grand">
      <x/>
    </i>
  </rowItems>
  <colItems count="1">
    <i/>
  </colItems>
  <dataFields count="1">
    <dataField name="Sum of Amount" fld="4" baseField="0" baseItem="0" numFmtId="164"/>
  </dataFields>
  <chartFormats count="8">
    <chartFormat chart="0" format="0"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 count="1" selected="0">
            <x v="0"/>
          </reference>
        </references>
      </pivotArea>
    </chartFormat>
    <chartFormat chart="8" format="10">
      <pivotArea type="data" outline="0" fieldPosition="0">
        <references count="2">
          <reference field="4294967294" count="1" selected="0">
            <x v="0"/>
          </reference>
          <reference field="1" count="1" selected="0">
            <x v="1"/>
          </reference>
        </references>
      </pivotArea>
    </chartFormat>
    <chartFormat chart="8" format="11">
      <pivotArea type="data" outline="0" fieldPosition="0">
        <references count="2">
          <reference field="4294967294" count="1" selected="0">
            <x v="0"/>
          </reference>
          <reference field="1" count="1" selected="0">
            <x v="2"/>
          </reference>
        </references>
      </pivotArea>
    </chartFormat>
    <chartFormat chart="8" format="12">
      <pivotArea type="data" outline="0" fieldPosition="0">
        <references count="2">
          <reference field="4294967294" count="1" selected="0">
            <x v="0"/>
          </reference>
          <reference field="1" count="1" selected="0">
            <x v="3"/>
          </reference>
        </references>
      </pivotArea>
    </chartFormat>
    <chartFormat chart="8" format="13">
      <pivotArea type="data" outline="0" fieldPosition="0">
        <references count="2">
          <reference field="4294967294" count="1" selected="0">
            <x v="0"/>
          </reference>
          <reference field="1" count="1" selected="0">
            <x v="4"/>
          </reference>
        </references>
      </pivotArea>
    </chartFormat>
    <chartFormat chart="8"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FF278D-AC2C-417D-9CE9-748AE46391EE}" name="PivotTable6"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A5" firstHeaderRow="1" firstDataRow="1" firstDataCol="0"/>
  <pivotFields count="8">
    <pivotField showAll="0"/>
    <pivotField showAll="0">
      <items count="7">
        <item x="2"/>
        <item x="5"/>
        <item x="1"/>
        <item x="3"/>
        <item x="0"/>
        <item x="4"/>
        <item t="default"/>
      </items>
    </pivotField>
    <pivotField showAll="0"/>
    <pivotField numFmtId="14"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numFmtId="164" showAll="0"/>
    <pivotField dataField="1"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Boxes Shipped" fld="5"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99E608-96AA-4161-AD1A-63994500362B}" name="PivotTable11"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N1:O8" firstHeaderRow="1" firstDataRow="1" firstDataCol="1"/>
  <pivotFields count="8">
    <pivotField dataField="1"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Row" showAll="0" sortType="descending">
      <items count="7">
        <item x="2"/>
        <item x="5"/>
        <item x="1"/>
        <item x="3"/>
        <item x="0"/>
        <item x="4"/>
        <item t="default"/>
      </items>
      <autoSortScope>
        <pivotArea dataOnly="0" outline="0" fieldPosition="0">
          <references count="1">
            <reference field="4294967294" count="1" selected="0">
              <x v="0"/>
            </reference>
          </references>
        </pivotArea>
      </autoSortScope>
    </pivotField>
    <pivotField showAll="0"/>
    <pivotField numFmtId="14"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numFmtId="164" showAll="0"/>
    <pivotField numFmtId="1" showAll="0">
      <items count="386">
        <item x="347"/>
        <item x="236"/>
        <item x="186"/>
        <item x="247"/>
        <item x="262"/>
        <item x="83"/>
        <item x="113"/>
        <item x="305"/>
        <item x="62"/>
        <item x="71"/>
        <item x="11"/>
        <item x="129"/>
        <item x="235"/>
        <item x="37"/>
        <item x="303"/>
        <item x="39"/>
        <item x="45"/>
        <item x="166"/>
        <item x="332"/>
        <item x="69"/>
        <item x="108"/>
        <item x="47"/>
        <item x="51"/>
        <item x="217"/>
        <item x="135"/>
        <item x="103"/>
        <item x="206"/>
        <item x="334"/>
        <item x="117"/>
        <item x="86"/>
        <item x="65"/>
        <item x="314"/>
        <item x="283"/>
        <item x="370"/>
        <item x="175"/>
        <item x="5"/>
        <item x="240"/>
        <item x="91"/>
        <item x="137"/>
        <item x="16"/>
        <item x="146"/>
        <item x="110"/>
        <item x="121"/>
        <item x="106"/>
        <item x="99"/>
        <item x="55"/>
        <item x="282"/>
        <item x="112"/>
        <item x="194"/>
        <item x="193"/>
        <item x="198"/>
        <item x="138"/>
        <item x="53"/>
        <item x="60"/>
        <item x="107"/>
        <item x="204"/>
        <item x="8"/>
        <item x="203"/>
        <item x="169"/>
        <item x="10"/>
        <item x="357"/>
        <item x="360"/>
        <item x="81"/>
        <item x="150"/>
        <item x="274"/>
        <item x="238"/>
        <item x="162"/>
        <item x="33"/>
        <item x="271"/>
        <item x="36"/>
        <item x="7"/>
        <item x="220"/>
        <item x="207"/>
        <item x="151"/>
        <item x="376"/>
        <item x="148"/>
        <item x="159"/>
        <item x="88"/>
        <item x="125"/>
        <item x="72"/>
        <item x="49"/>
        <item x="147"/>
        <item x="243"/>
        <item x="189"/>
        <item x="102"/>
        <item x="20"/>
        <item x="293"/>
        <item x="114"/>
        <item x="2"/>
        <item x="96"/>
        <item x="266"/>
        <item x="1"/>
        <item x="187"/>
        <item x="109"/>
        <item x="82"/>
        <item x="325"/>
        <item x="164"/>
        <item x="149"/>
        <item x="90"/>
        <item x="9"/>
        <item x="61"/>
        <item x="130"/>
        <item x="239"/>
        <item x="85"/>
        <item x="200"/>
        <item x="73"/>
        <item x="176"/>
        <item x="116"/>
        <item x="80"/>
        <item x="27"/>
        <item x="23"/>
        <item x="280"/>
        <item x="24"/>
        <item x="131"/>
        <item x="118"/>
        <item x="105"/>
        <item x="366"/>
        <item x="241"/>
        <item x="30"/>
        <item x="160"/>
        <item x="358"/>
        <item x="328"/>
        <item x="100"/>
        <item x="179"/>
        <item x="197"/>
        <item x="120"/>
        <item x="264"/>
        <item x="284"/>
        <item x="295"/>
        <item x="378"/>
        <item x="32"/>
        <item x="154"/>
        <item x="48"/>
        <item x="128"/>
        <item x="68"/>
        <item x="93"/>
        <item x="182"/>
        <item x="17"/>
        <item x="97"/>
        <item x="42"/>
        <item x="157"/>
        <item x="181"/>
        <item x="136"/>
        <item x="234"/>
        <item x="265"/>
        <item x="58"/>
        <item x="31"/>
        <item x="28"/>
        <item x="212"/>
        <item x="273"/>
        <item x="163"/>
        <item x="277"/>
        <item x="13"/>
        <item x="21"/>
        <item x="191"/>
        <item x="141"/>
        <item x="44"/>
        <item x="306"/>
        <item x="22"/>
        <item x="223"/>
        <item x="364"/>
        <item x="185"/>
        <item x="92"/>
        <item x="291"/>
        <item x="225"/>
        <item x="178"/>
        <item x="333"/>
        <item x="19"/>
        <item x="14"/>
        <item x="56"/>
        <item x="95"/>
        <item x="6"/>
        <item x="233"/>
        <item x="124"/>
        <item x="50"/>
        <item x="0"/>
        <item x="67"/>
        <item x="251"/>
        <item x="215"/>
        <item x="4"/>
        <item x="177"/>
        <item x="26"/>
        <item x="142"/>
        <item x="43"/>
        <item x="302"/>
        <item x="152"/>
        <item x="253"/>
        <item x="275"/>
        <item x="210"/>
        <item x="126"/>
        <item x="216"/>
        <item x="304"/>
        <item x="294"/>
        <item x="168"/>
        <item x="315"/>
        <item x="132"/>
        <item x="214"/>
        <item x="259"/>
        <item x="342"/>
        <item x="307"/>
        <item x="267"/>
        <item x="192"/>
        <item x="140"/>
        <item x="219"/>
        <item x="122"/>
        <item x="261"/>
        <item x="64"/>
        <item x="230"/>
        <item x="174"/>
        <item x="384"/>
        <item x="202"/>
        <item x="301"/>
        <item x="317"/>
        <item x="353"/>
        <item x="226"/>
        <item x="272"/>
        <item x="244"/>
        <item x="54"/>
        <item x="344"/>
        <item x="299"/>
        <item x="257"/>
        <item x="143"/>
        <item x="229"/>
        <item x="309"/>
        <item x="290"/>
        <item x="351"/>
        <item x="196"/>
        <item x="312"/>
        <item x="41"/>
        <item x="190"/>
        <item x="324"/>
        <item x="66"/>
        <item x="170"/>
        <item x="356"/>
        <item x="263"/>
        <item x="156"/>
        <item x="18"/>
        <item x="310"/>
        <item x="171"/>
        <item x="256"/>
        <item x="172"/>
        <item x="242"/>
        <item x="167"/>
        <item x="199"/>
        <item x="270"/>
        <item x="237"/>
        <item x="361"/>
        <item x="79"/>
        <item x="63"/>
        <item x="382"/>
        <item x="298"/>
        <item x="78"/>
        <item x="322"/>
        <item x="119"/>
        <item x="205"/>
        <item x="180"/>
        <item x="321"/>
        <item x="173"/>
        <item x="232"/>
        <item x="249"/>
        <item x="144"/>
        <item x="98"/>
        <item x="227"/>
        <item x="248"/>
        <item x="12"/>
        <item x="297"/>
        <item x="201"/>
        <item x="331"/>
        <item x="300"/>
        <item x="349"/>
        <item x="379"/>
        <item x="89"/>
        <item x="369"/>
        <item x="308"/>
        <item x="29"/>
        <item x="57"/>
        <item x="46"/>
        <item x="363"/>
        <item x="339"/>
        <item x="362"/>
        <item x="343"/>
        <item x="326"/>
        <item x="228"/>
        <item x="348"/>
        <item x="70"/>
        <item x="188"/>
        <item x="340"/>
        <item x="35"/>
        <item x="34"/>
        <item x="268"/>
        <item x="254"/>
        <item x="195"/>
        <item x="380"/>
        <item x="281"/>
        <item x="25"/>
        <item x="250"/>
        <item x="316"/>
        <item x="208"/>
        <item x="246"/>
        <item x="288"/>
        <item x="276"/>
        <item x="231"/>
        <item x="383"/>
        <item x="285"/>
        <item x="245"/>
        <item x="3"/>
        <item x="319"/>
        <item x="287"/>
        <item x="77"/>
        <item x="313"/>
        <item x="329"/>
        <item x="224"/>
        <item x="279"/>
        <item x="40"/>
        <item x="15"/>
        <item x="155"/>
        <item x="87"/>
        <item x="311"/>
        <item x="371"/>
        <item x="221"/>
        <item x="139"/>
        <item x="213"/>
        <item x="341"/>
        <item x="374"/>
        <item x="269"/>
        <item x="111"/>
        <item x="134"/>
        <item x="158"/>
        <item x="286"/>
        <item x="209"/>
        <item x="101"/>
        <item x="327"/>
        <item x="74"/>
        <item x="292"/>
        <item x="115"/>
        <item x="183"/>
        <item x="278"/>
        <item x="75"/>
        <item x="222"/>
        <item x="255"/>
        <item x="59"/>
        <item x="350"/>
        <item x="218"/>
        <item x="52"/>
        <item x="184"/>
        <item x="133"/>
        <item x="335"/>
        <item x="76"/>
        <item x="372"/>
        <item x="153"/>
        <item x="345"/>
        <item x="161"/>
        <item x="289"/>
        <item x="165"/>
        <item x="368"/>
        <item x="359"/>
        <item x="365"/>
        <item x="127"/>
        <item x="336"/>
        <item x="377"/>
        <item x="375"/>
        <item x="252"/>
        <item x="354"/>
        <item x="260"/>
        <item x="145"/>
        <item x="123"/>
        <item x="296"/>
        <item x="84"/>
        <item x="318"/>
        <item x="346"/>
        <item x="323"/>
        <item x="320"/>
        <item x="355"/>
        <item x="94"/>
        <item x="337"/>
        <item x="367"/>
        <item x="258"/>
        <item x="104"/>
        <item x="211"/>
        <item x="38"/>
        <item x="381"/>
        <item x="338"/>
        <item x="352"/>
        <item x="330"/>
        <item x="373"/>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7">
    <i>
      <x/>
    </i>
    <i>
      <x v="2"/>
    </i>
    <i>
      <x v="5"/>
    </i>
    <i>
      <x v="4"/>
    </i>
    <i>
      <x v="1"/>
    </i>
    <i>
      <x v="3"/>
    </i>
    <i t="grand">
      <x/>
    </i>
  </rowItems>
  <colItems count="1">
    <i/>
  </colItems>
  <dataFields count="1">
    <dataField name="Count of Sales Person" fld="0" subtotal="count" baseField="0" baseItem="0"/>
  </dataFields>
  <chartFormats count="8">
    <chartFormat chart="0" format="0"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 count="1" selected="0">
            <x v="0"/>
          </reference>
        </references>
      </pivotArea>
    </chartFormat>
    <chartFormat chart="8" format="10">
      <pivotArea type="data" outline="0" fieldPosition="0">
        <references count="2">
          <reference field="4294967294" count="1" selected="0">
            <x v="0"/>
          </reference>
          <reference field="1" count="1" selected="0">
            <x v="2"/>
          </reference>
        </references>
      </pivotArea>
    </chartFormat>
    <chartFormat chart="8" format="11">
      <pivotArea type="data" outline="0" fieldPosition="0">
        <references count="2">
          <reference field="4294967294" count="1" selected="0">
            <x v="0"/>
          </reference>
          <reference field="1" count="1" selected="0">
            <x v="5"/>
          </reference>
        </references>
      </pivotArea>
    </chartFormat>
    <chartFormat chart="8" format="12">
      <pivotArea type="data" outline="0" fieldPosition="0">
        <references count="2">
          <reference field="4294967294" count="1" selected="0">
            <x v="0"/>
          </reference>
          <reference field="1" count="1" selected="0">
            <x v="4"/>
          </reference>
        </references>
      </pivotArea>
    </chartFormat>
    <chartFormat chart="8" format="13">
      <pivotArea type="data" outline="0" fieldPosition="0">
        <references count="2">
          <reference field="4294967294" count="1" selected="0">
            <x v="0"/>
          </reference>
          <reference field="1" count="1" selected="0">
            <x v="1"/>
          </reference>
        </references>
      </pivotArea>
    </chartFormat>
    <chartFormat chart="8" format="1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D76EED-D27E-431E-8DCB-931899F4A0C6}" name="PivotTable5"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A2" firstHeaderRow="1" firstDataRow="1" firstDataCol="0"/>
  <pivotFields count="8">
    <pivotField showAll="0"/>
    <pivotField showAll="0">
      <items count="7">
        <item x="2"/>
        <item x="5"/>
        <item x="1"/>
        <item x="3"/>
        <item x="0"/>
        <item x="4"/>
        <item t="default"/>
      </items>
    </pivotField>
    <pivotField showAll="0"/>
    <pivotField numFmtId="14"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dataField="1" numFmtId="164"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Amount"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E2624E-6426-4291-848A-8D0B9416554A}" name="PivotTable9"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D12:E21" firstHeaderRow="1" firstDataRow="1" firstDataCol="1"/>
  <pivotFields count="8">
    <pivotField showAll="0"/>
    <pivotField showAll="0">
      <items count="7">
        <item x="2"/>
        <item x="5"/>
        <item x="1"/>
        <item x="3"/>
        <item x="0"/>
        <item x="4"/>
        <item t="default"/>
      </items>
    </pivotField>
    <pivotField showAll="0"/>
    <pivotField axis="axisRow" numFmtId="14"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numFmtId="164" showAll="0"/>
    <pivotField dataField="1" numFmtI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7"/>
    <field x="6"/>
    <field x="3"/>
  </rowFields>
  <rowItems count="9">
    <i>
      <x v="1"/>
    </i>
    <i>
      <x v="2"/>
    </i>
    <i>
      <x v="3"/>
    </i>
    <i>
      <x v="4"/>
    </i>
    <i>
      <x v="5"/>
    </i>
    <i>
      <x v="6"/>
    </i>
    <i>
      <x v="7"/>
    </i>
    <i>
      <x v="8"/>
    </i>
    <i t="grand">
      <x/>
    </i>
  </rowItems>
  <colItems count="1">
    <i/>
  </colItems>
  <dataFields count="1">
    <dataField name="Sum of Boxes Shipped" fld="5" baseField="0"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A0327A-AF21-48BD-9339-BE25E68EFEE9}" name="PivotTable14"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3:B49" firstHeaderRow="1" firstDataRow="1" firstDataCol="1"/>
  <pivotFields count="8">
    <pivotField axis="axisRow" dataField="1" showAll="0" sortType="descending">
      <items count="26">
        <item x="19"/>
        <item x="8"/>
        <item x="12"/>
        <item x="6"/>
        <item x="21"/>
        <item x="24"/>
        <item x="14"/>
        <item x="17"/>
        <item x="23"/>
        <item x="2"/>
        <item x="5"/>
        <item x="15"/>
        <item x="3"/>
        <item x="0"/>
        <item x="16"/>
        <item x="10"/>
        <item x="20"/>
        <item x="22"/>
        <item x="9"/>
        <item x="11"/>
        <item x="4"/>
        <item x="7"/>
        <item x="13"/>
        <item x="1"/>
        <item x="18"/>
        <item t="default"/>
      </items>
      <autoSortScope>
        <pivotArea dataOnly="0" outline="0" fieldPosition="0">
          <references count="1">
            <reference field="4294967294" count="1" selected="0">
              <x v="0"/>
            </reference>
          </references>
        </pivotArea>
      </autoSortScope>
    </pivotField>
    <pivotField showAll="0">
      <items count="7">
        <item x="2"/>
        <item x="5"/>
        <item x="1"/>
        <item x="3"/>
        <item x="0"/>
        <item x="4"/>
        <item t="default"/>
      </items>
    </pivotField>
    <pivotField showAll="0"/>
    <pivotField numFmtId="14"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numFmtId="164" showAll="0"/>
    <pivotField numFmtId="1"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26">
    <i>
      <x v="16"/>
    </i>
    <i>
      <x v="3"/>
    </i>
    <i>
      <x v="23"/>
    </i>
    <i>
      <x v="2"/>
    </i>
    <i>
      <x v="20"/>
    </i>
    <i>
      <x v="7"/>
    </i>
    <i>
      <x v="5"/>
    </i>
    <i>
      <x v="15"/>
    </i>
    <i>
      <x v="9"/>
    </i>
    <i>
      <x v="6"/>
    </i>
    <i>
      <x v="17"/>
    </i>
    <i>
      <x v="19"/>
    </i>
    <i>
      <x v="14"/>
    </i>
    <i>
      <x v="22"/>
    </i>
    <i>
      <x v="13"/>
    </i>
    <i>
      <x v="1"/>
    </i>
    <i>
      <x v="10"/>
    </i>
    <i>
      <x v="18"/>
    </i>
    <i>
      <x/>
    </i>
    <i>
      <x v="12"/>
    </i>
    <i>
      <x v="11"/>
    </i>
    <i>
      <x v="8"/>
    </i>
    <i>
      <x v="24"/>
    </i>
    <i>
      <x v="21"/>
    </i>
    <i>
      <x v="4"/>
    </i>
    <i t="grand">
      <x/>
    </i>
  </rowItems>
  <colItems count="1">
    <i/>
  </colItems>
  <dataFields count="1">
    <dataField name="Count of Sales Pers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218062D-3587-456A-922B-C1E00084C9CB}" name="PivotTable13"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C1:AE27" firstHeaderRow="0" firstDataRow="1" firstDataCol="1"/>
  <pivotFields count="8">
    <pivotField axis="axisRow" showAll="0" sortType="descending">
      <items count="26">
        <item x="19"/>
        <item x="8"/>
        <item x="12"/>
        <item x="6"/>
        <item x="21"/>
        <item x="24"/>
        <item x="14"/>
        <item x="17"/>
        <item x="23"/>
        <item x="2"/>
        <item x="5"/>
        <item x="15"/>
        <item x="3"/>
        <item x="0"/>
        <item x="16"/>
        <item x="10"/>
        <item x="20"/>
        <item x="22"/>
        <item x="9"/>
        <item x="11"/>
        <item x="4"/>
        <item x="7"/>
        <item x="13"/>
        <item x="1"/>
        <item x="18"/>
        <item t="default"/>
      </items>
      <autoSortScope>
        <pivotArea dataOnly="0" outline="0" fieldPosition="0">
          <references count="1">
            <reference field="4294967294" count="1" selected="0">
              <x v="0"/>
            </reference>
          </references>
        </pivotArea>
      </autoSortScope>
    </pivotField>
    <pivotField showAll="0">
      <items count="7">
        <item x="2"/>
        <item x="5"/>
        <item x="1"/>
        <item x="3"/>
        <item x="0"/>
        <item x="4"/>
        <item t="default"/>
      </items>
    </pivotField>
    <pivotField showAll="0"/>
    <pivotField numFmtId="14"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dataField="1" numFmtId="164" showAll="0"/>
    <pivotField dataField="1" numFmtId="1"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26">
    <i>
      <x v="16"/>
    </i>
    <i>
      <x v="6"/>
    </i>
    <i>
      <x v="7"/>
    </i>
    <i>
      <x v="9"/>
    </i>
    <i>
      <x v="15"/>
    </i>
    <i>
      <x v="2"/>
    </i>
    <i>
      <x v="23"/>
    </i>
    <i>
      <x/>
    </i>
    <i>
      <x v="11"/>
    </i>
    <i>
      <x v="5"/>
    </i>
    <i>
      <x v="19"/>
    </i>
    <i>
      <x v="21"/>
    </i>
    <i>
      <x v="24"/>
    </i>
    <i>
      <x v="10"/>
    </i>
    <i>
      <x v="3"/>
    </i>
    <i>
      <x v="18"/>
    </i>
    <i>
      <x v="12"/>
    </i>
    <i>
      <x v="8"/>
    </i>
    <i>
      <x v="4"/>
    </i>
    <i>
      <x v="1"/>
    </i>
    <i>
      <x v="20"/>
    </i>
    <i>
      <x v="13"/>
    </i>
    <i>
      <x v="22"/>
    </i>
    <i>
      <x v="14"/>
    </i>
    <i>
      <x v="17"/>
    </i>
    <i t="grand">
      <x/>
    </i>
  </rowItems>
  <colFields count="1">
    <field x="-2"/>
  </colFields>
  <colItems count="2">
    <i>
      <x/>
    </i>
    <i i="1">
      <x v="1"/>
    </i>
  </colItems>
  <dataFields count="2">
    <dataField name="Sum of Amount" fld="4" baseField="0" baseItem="0" numFmtId="164"/>
    <dataField name="Sum of Boxes Shipped" fld="5" baseField="0" baseItem="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0C5018-2EAC-4D05-91E5-8B608183E504}" name="PivotTable8"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D1:E10" firstHeaderRow="1" firstDataRow="1" firstDataCol="1"/>
  <pivotFields count="8">
    <pivotField showAll="0"/>
    <pivotField showAll="0">
      <items count="7">
        <item x="2"/>
        <item x="5"/>
        <item x="1"/>
        <item x="3"/>
        <item x="0"/>
        <item x="4"/>
        <item t="default"/>
      </items>
    </pivotField>
    <pivotField showAll="0"/>
    <pivotField axis="axisRow" numFmtId="14"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dataField="1" numFmtId="164" showAll="0">
      <items count="828">
        <item x="142"/>
        <item x="715"/>
        <item x="782"/>
        <item x="162"/>
        <item x="95"/>
        <item x="18"/>
        <item x="684"/>
        <item x="523"/>
        <item x="645"/>
        <item x="556"/>
        <item x="192"/>
        <item x="713"/>
        <item x="603"/>
        <item x="312"/>
        <item x="555"/>
        <item x="283"/>
        <item x="798"/>
        <item x="20"/>
        <item x="73"/>
        <item x="325"/>
        <item x="655"/>
        <item x="594"/>
        <item x="470"/>
        <item x="217"/>
        <item x="620"/>
        <item x="396"/>
        <item x="203"/>
        <item x="279"/>
        <item x="692"/>
        <item x="637"/>
        <item x="264"/>
        <item x="436"/>
        <item x="194"/>
        <item x="438"/>
        <item x="11"/>
        <item x="98"/>
        <item x="562"/>
        <item x="806"/>
        <item x="113"/>
        <item x="430"/>
        <item x="257"/>
        <item x="761"/>
        <item x="281"/>
        <item x="577"/>
        <item x="367"/>
        <item x="124"/>
        <item x="296"/>
        <item x="583"/>
        <item x="568"/>
        <item x="57"/>
        <item x="628"/>
        <item x="319"/>
        <item x="722"/>
        <item x="24"/>
        <item x="793"/>
        <item x="164"/>
        <item x="606"/>
        <item x="726"/>
        <item x="28"/>
        <item x="567"/>
        <item x="362"/>
        <item x="90"/>
        <item x="418"/>
        <item x="756"/>
        <item x="522"/>
        <item x="749"/>
        <item x="93"/>
        <item x="117"/>
        <item x="573"/>
        <item x="554"/>
        <item x="273"/>
        <item x="544"/>
        <item x="633"/>
        <item x="106"/>
        <item x="657"/>
        <item x="314"/>
        <item x="391"/>
        <item x="541"/>
        <item x="71"/>
        <item x="631"/>
        <item x="62"/>
        <item x="608"/>
        <item x="268"/>
        <item x="506"/>
        <item x="141"/>
        <item x="185"/>
        <item x="572"/>
        <item x="688"/>
        <item x="426"/>
        <item x="32"/>
        <item x="286"/>
        <item x="384"/>
        <item x="51"/>
        <item x="356"/>
        <item x="786"/>
        <item x="246"/>
        <item x="754"/>
        <item x="560"/>
        <item x="148"/>
        <item x="229"/>
        <item x="443"/>
        <item x="311"/>
        <item x="505"/>
        <item x="326"/>
        <item x="747"/>
        <item x="405"/>
        <item x="427"/>
        <item x="414"/>
        <item x="752"/>
        <item x="679"/>
        <item x="250"/>
        <item x="337"/>
        <item x="37"/>
        <item x="353"/>
        <item x="126"/>
        <item x="792"/>
        <item x="791"/>
        <item x="484"/>
        <item x="551"/>
        <item x="784"/>
        <item x="371"/>
        <item x="801"/>
        <item x="263"/>
        <item x="503"/>
        <item x="134"/>
        <item x="303"/>
        <item x="175"/>
        <item x="355"/>
        <item x="239"/>
        <item x="401"/>
        <item x="261"/>
        <item x="237"/>
        <item x="34"/>
        <item x="394"/>
        <item x="807"/>
        <item x="760"/>
        <item x="258"/>
        <item x="815"/>
        <item x="497"/>
        <item x="545"/>
        <item x="441"/>
        <item x="144"/>
        <item x="128"/>
        <item x="156"/>
        <item x="442"/>
        <item x="69"/>
        <item x="243"/>
        <item x="334"/>
        <item x="8"/>
        <item x="291"/>
        <item x="420"/>
        <item x="564"/>
        <item x="323"/>
        <item x="260"/>
        <item x="91"/>
        <item x="525"/>
        <item x="607"/>
        <item x="540"/>
        <item x="477"/>
        <item x="595"/>
        <item x="336"/>
        <item x="22"/>
        <item x="280"/>
        <item x="16"/>
        <item x="552"/>
        <item x="683"/>
        <item x="150"/>
        <item x="825"/>
        <item x="59"/>
        <item x="6"/>
        <item x="618"/>
        <item x="421"/>
        <item x="220"/>
        <item x="190"/>
        <item x="252"/>
        <item x="209"/>
        <item x="723"/>
        <item x="641"/>
        <item x="218"/>
        <item x="304"/>
        <item x="467"/>
        <item x="231"/>
        <item x="206"/>
        <item x="166"/>
        <item x="514"/>
        <item x="173"/>
        <item x="145"/>
        <item x="599"/>
        <item x="763"/>
        <item x="183"/>
        <item x="428"/>
        <item x="737"/>
        <item x="289"/>
        <item x="475"/>
        <item x="224"/>
        <item x="211"/>
        <item x="387"/>
        <item x="648"/>
        <item x="553"/>
        <item x="667"/>
        <item x="181"/>
        <item x="200"/>
        <item x="471"/>
        <item x="365"/>
        <item x="528"/>
        <item x="702"/>
        <item x="351"/>
        <item x="158"/>
        <item x="53"/>
        <item x="335"/>
        <item x="350"/>
        <item x="771"/>
        <item x="131"/>
        <item x="812"/>
        <item x="327"/>
        <item x="736"/>
        <item x="269"/>
        <item x="661"/>
        <item x="36"/>
        <item x="423"/>
        <item x="10"/>
        <item x="813"/>
        <item x="340"/>
        <item x="712"/>
        <item x="236"/>
        <item x="227"/>
        <item x="587"/>
        <item x="457"/>
        <item x="432"/>
        <item x="454"/>
        <item x="561"/>
        <item x="788"/>
        <item x="748"/>
        <item x="374"/>
        <item x="531"/>
        <item x="576"/>
        <item x="7"/>
        <item x="650"/>
        <item x="186"/>
        <item x="25"/>
        <item x="81"/>
        <item x="409"/>
        <item x="213"/>
        <item x="15"/>
        <item x="403"/>
        <item x="476"/>
        <item x="313"/>
        <item x="140"/>
        <item x="478"/>
        <item x="100"/>
        <item x="778"/>
        <item x="656"/>
        <item x="397"/>
        <item x="300"/>
        <item x="731"/>
        <item x="764"/>
        <item x="88"/>
        <item x="534"/>
        <item x="130"/>
        <item x="233"/>
        <item x="30"/>
        <item x="658"/>
        <item x="318"/>
        <item x="649"/>
        <item x="182"/>
        <item x="521"/>
        <item x="266"/>
        <item x="149"/>
        <item x="45"/>
        <item x="238"/>
        <item x="488"/>
        <item x="230"/>
        <item x="826"/>
        <item x="56"/>
        <item x="122"/>
        <item x="512"/>
        <item x="2"/>
        <item x="416"/>
        <item x="665"/>
        <item x="383"/>
        <item x="588"/>
        <item x="207"/>
        <item x="777"/>
        <item x="635"/>
        <item x="121"/>
        <item x="669"/>
        <item x="668"/>
        <item x="322"/>
        <item x="305"/>
        <item x="765"/>
        <item x="103"/>
        <item x="9"/>
        <item x="75"/>
        <item x="466"/>
        <item x="591"/>
        <item x="21"/>
        <item x="288"/>
        <item x="40"/>
        <item x="177"/>
        <item x="515"/>
        <item x="519"/>
        <item x="127"/>
        <item x="634"/>
        <item x="449"/>
        <item x="47"/>
        <item x="804"/>
        <item x="678"/>
        <item x="789"/>
        <item x="617"/>
        <item x="369"/>
        <item x="746"/>
        <item x="675"/>
        <item x="728"/>
        <item x="507"/>
        <item x="390"/>
        <item x="27"/>
        <item x="221"/>
        <item x="729"/>
        <item x="133"/>
        <item x="199"/>
        <item x="644"/>
        <item x="480"/>
        <item x="502"/>
        <item x="651"/>
        <item x="569"/>
        <item x="167"/>
        <item x="424"/>
        <item x="647"/>
        <item x="46"/>
        <item x="681"/>
        <item x="375"/>
        <item x="407"/>
        <item x="165"/>
        <item x="349"/>
        <item x="0"/>
        <item x="359"/>
        <item x="99"/>
        <item x="5"/>
        <item x="686"/>
        <item x="708"/>
        <item x="226"/>
        <item x="494"/>
        <item x="161"/>
        <item x="152"/>
        <item x="546"/>
        <item x="208"/>
        <item x="306"/>
        <item x="338"/>
        <item x="274"/>
        <item x="272"/>
        <item x="214"/>
        <item x="109"/>
        <item x="276"/>
        <item x="703"/>
        <item x="361"/>
        <item x="509"/>
        <item x="68"/>
        <item x="135"/>
        <item x="759"/>
        <item x="516"/>
        <item x="779"/>
        <item x="299"/>
        <item x="550"/>
        <item x="317"/>
        <item x="97"/>
        <item x="382"/>
        <item x="744"/>
        <item x="751"/>
        <item x="345"/>
        <item x="419"/>
        <item x="589"/>
        <item x="308"/>
        <item x="582"/>
        <item x="673"/>
        <item x="417"/>
        <item x="82"/>
        <item x="724"/>
        <item x="816"/>
        <item x="627"/>
        <item x="461"/>
        <item x="108"/>
        <item x="292"/>
        <item x="654"/>
        <item x="358"/>
        <item x="112"/>
        <item x="360"/>
        <item x="332"/>
        <item x="146"/>
        <item x="198"/>
        <item x="547"/>
        <item x="60"/>
        <item x="814"/>
        <item x="795"/>
        <item x="377"/>
        <item x="65"/>
        <item x="87"/>
        <item x="570"/>
        <item x="592"/>
        <item x="251"/>
        <item x="526"/>
        <item x="41"/>
        <item x="738"/>
        <item x="262"/>
        <item x="458"/>
        <item x="363"/>
        <item x="492"/>
        <item x="558"/>
        <item x="412"/>
        <item x="189"/>
        <item x="187"/>
        <item x="191"/>
        <item x="169"/>
        <item x="711"/>
        <item x="459"/>
        <item x="372"/>
        <item x="205"/>
        <item x="774"/>
        <item x="536"/>
        <item x="598"/>
        <item x="805"/>
        <item x="705"/>
        <item x="431"/>
        <item x="415"/>
        <item x="435"/>
        <item x="411"/>
        <item x="235"/>
        <item x="452"/>
        <item x="810"/>
        <item x="14"/>
        <item x="315"/>
        <item x="557"/>
        <item x="809"/>
        <item x="120"/>
        <item x="31"/>
        <item x="310"/>
        <item x="85"/>
        <item x="19"/>
        <item x="282"/>
        <item x="455"/>
        <item x="548"/>
        <item x="406"/>
        <item x="574"/>
        <item x="44"/>
        <item x="324"/>
        <item x="330"/>
        <item x="486"/>
        <item x="672"/>
        <item x="379"/>
        <item x="410"/>
        <item x="730"/>
        <item x="796"/>
        <item x="710"/>
        <item x="380"/>
        <item x="129"/>
        <item x="341"/>
        <item x="698"/>
        <item x="86"/>
        <item x="215"/>
        <item x="566"/>
        <item x="84"/>
        <item x="659"/>
        <item x="154"/>
        <item x="639"/>
        <item x="188"/>
        <item x="663"/>
        <item x="118"/>
        <item x="174"/>
        <item x="256"/>
        <item x="691"/>
        <item x="223"/>
        <item x="197"/>
        <item x="808"/>
        <item x="398"/>
        <item x="685"/>
        <item x="706"/>
        <item x="439"/>
        <item x="307"/>
        <item x="593"/>
        <item x="267"/>
        <item x="493"/>
        <item x="520"/>
        <item x="682"/>
        <item x="632"/>
        <item x="74"/>
        <item x="42"/>
        <item x="741"/>
        <item x="385"/>
        <item x="23"/>
        <item x="265"/>
        <item x="389"/>
        <item x="228"/>
        <item x="450"/>
        <item x="393"/>
        <item x="701"/>
        <item x="104"/>
        <item x="277"/>
        <item x="1"/>
        <item x="219"/>
        <item x="563"/>
        <item x="803"/>
        <item x="542"/>
        <item x="646"/>
        <item x="80"/>
        <item x="693"/>
        <item x="151"/>
        <item x="253"/>
        <item x="195"/>
        <item x="329"/>
        <item x="613"/>
        <item x="101"/>
        <item x="172"/>
        <item x="823"/>
        <item x="373"/>
        <item x="790"/>
        <item x="559"/>
        <item x="721"/>
        <item x="727"/>
        <item x="297"/>
        <item x="400"/>
        <item x="468"/>
        <item x="139"/>
        <item x="720"/>
        <item x="640"/>
        <item x="822"/>
        <item x="13"/>
        <item x="456"/>
        <item x="794"/>
        <item x="674"/>
        <item x="616"/>
        <item x="473"/>
        <item x="245"/>
        <item x="824"/>
        <item x="621"/>
        <item x="532"/>
        <item x="437"/>
        <item x="48"/>
        <item x="818"/>
        <item x="773"/>
        <item x="342"/>
        <item x="602"/>
        <item x="615"/>
        <item x="287"/>
        <item x="538"/>
        <item x="249"/>
        <item x="485"/>
        <item x="610"/>
        <item x="518"/>
        <item x="433"/>
        <item x="17"/>
        <item x="499"/>
        <item x="216"/>
        <item x="125"/>
        <item x="487"/>
        <item x="153"/>
        <item x="255"/>
        <item x="425"/>
        <item x="680"/>
        <item x="662"/>
        <item x="301"/>
        <item x="386"/>
        <item x="66"/>
        <item x="157"/>
        <item x="585"/>
        <item x="757"/>
        <item x="707"/>
        <item x="343"/>
        <item x="619"/>
        <item x="316"/>
        <item x="714"/>
        <item x="64"/>
        <item x="138"/>
        <item x="178"/>
        <item x="170"/>
        <item x="580"/>
        <item x="739"/>
        <item x="105"/>
        <item x="248"/>
        <item x="159"/>
        <item x="571"/>
        <item x="26"/>
        <item x="565"/>
        <item x="676"/>
        <item x="605"/>
        <item x="479"/>
        <item x="33"/>
        <item x="596"/>
        <item x="196"/>
        <item x="76"/>
        <item x="463"/>
        <item x="43"/>
        <item x="636"/>
        <item x="762"/>
        <item x="490"/>
        <item x="699"/>
        <item x="302"/>
        <item x="586"/>
        <item x="797"/>
        <item x="176"/>
        <item x="465"/>
        <item x="370"/>
        <item x="597"/>
        <item x="524"/>
        <item x="147"/>
        <item x="753"/>
        <item x="735"/>
        <item x="776"/>
        <item x="462"/>
        <item x="460"/>
        <item x="285"/>
        <item x="697"/>
        <item x="769"/>
        <item x="483"/>
        <item x="575"/>
        <item x="278"/>
        <item x="61"/>
        <item x="787"/>
        <item x="160"/>
        <item x="687"/>
        <item x="742"/>
        <item x="660"/>
        <item x="491"/>
        <item x="295"/>
        <item x="510"/>
        <item x="802"/>
        <item x="388"/>
        <item x="354"/>
        <item x="578"/>
        <item x="817"/>
        <item x="785"/>
        <item x="630"/>
        <item x="677"/>
        <item x="543"/>
        <item x="448"/>
        <item x="320"/>
        <item x="629"/>
        <item x="171"/>
        <item x="413"/>
        <item x="107"/>
        <item x="110"/>
        <item x="653"/>
        <item x="137"/>
        <item x="451"/>
        <item x="271"/>
        <item x="83"/>
        <item x="481"/>
        <item x="732"/>
        <item x="275"/>
        <item x="445"/>
        <item x="357"/>
        <item x="770"/>
        <item x="115"/>
        <item x="395"/>
        <item x="96"/>
        <item x="254"/>
        <item x="184"/>
        <item x="819"/>
        <item x="750"/>
        <item x="344"/>
        <item x="225"/>
        <item x="496"/>
        <item x="716"/>
        <item x="489"/>
        <item x="549"/>
        <item x="758"/>
        <item x="404"/>
        <item x="444"/>
        <item x="67"/>
        <item x="376"/>
        <item x="689"/>
        <item x="447"/>
        <item x="725"/>
        <item x="29"/>
        <item x="772"/>
        <item x="767"/>
        <item x="143"/>
        <item x="821"/>
        <item x="530"/>
        <item x="163"/>
        <item x="690"/>
        <item x="609"/>
        <item x="3"/>
        <item x="422"/>
        <item x="719"/>
        <item x="339"/>
        <item x="94"/>
        <item x="244"/>
        <item x="766"/>
        <item x="482"/>
        <item x="155"/>
        <item x="346"/>
        <item x="696"/>
        <item x="626"/>
        <item x="717"/>
        <item x="247"/>
        <item x="508"/>
        <item x="537"/>
        <item x="535"/>
        <item x="4"/>
        <item x="168"/>
        <item x="614"/>
        <item x="783"/>
        <item x="309"/>
        <item x="472"/>
        <item x="601"/>
        <item x="768"/>
        <item x="193"/>
        <item x="347"/>
        <item x="469"/>
        <item x="500"/>
        <item x="77"/>
        <item x="581"/>
        <item x="364"/>
        <item x="241"/>
        <item x="39"/>
        <item x="718"/>
        <item x="50"/>
        <item x="259"/>
        <item x="709"/>
        <item x="212"/>
        <item x="429"/>
        <item x="740"/>
        <item x="579"/>
        <item x="811"/>
        <item x="440"/>
        <item x="600"/>
        <item x="55"/>
        <item x="381"/>
        <item x="495"/>
        <item x="402"/>
        <item x="611"/>
        <item x="446"/>
        <item x="294"/>
        <item x="123"/>
        <item x="348"/>
        <item x="664"/>
        <item x="501"/>
        <item x="240"/>
        <item x="695"/>
        <item x="54"/>
        <item x="328"/>
        <item x="116"/>
        <item x="734"/>
        <item x="511"/>
        <item x="643"/>
        <item x="378"/>
        <item x="775"/>
        <item x="202"/>
        <item x="498"/>
        <item x="63"/>
        <item x="612"/>
        <item x="132"/>
        <item x="464"/>
        <item x="745"/>
        <item x="92"/>
        <item x="79"/>
        <item x="234"/>
        <item x="474"/>
        <item x="590"/>
        <item x="49"/>
        <item x="513"/>
        <item x="399"/>
        <item x="102"/>
        <item x="35"/>
        <item x="242"/>
        <item x="12"/>
        <item x="625"/>
        <item x="671"/>
        <item x="392"/>
        <item x="210"/>
        <item x="58"/>
        <item x="78"/>
        <item x="733"/>
        <item x="527"/>
        <item x="666"/>
        <item x="638"/>
        <item x="694"/>
        <item x="222"/>
        <item x="539"/>
        <item x="136"/>
        <item x="290"/>
        <item x="52"/>
        <item x="232"/>
        <item x="270"/>
        <item x="799"/>
        <item x="114"/>
        <item x="604"/>
        <item x="642"/>
        <item x="179"/>
        <item x="533"/>
        <item x="781"/>
        <item x="755"/>
        <item x="180"/>
        <item x="408"/>
        <item x="284"/>
        <item x="72"/>
        <item x="111"/>
        <item x="89"/>
        <item x="331"/>
        <item x="623"/>
        <item x="434"/>
        <item x="529"/>
        <item x="820"/>
        <item x="352"/>
        <item x="780"/>
        <item x="622"/>
        <item x="704"/>
        <item x="204"/>
        <item x="700"/>
        <item x="453"/>
        <item x="201"/>
        <item x="584"/>
        <item x="743"/>
        <item x="624"/>
        <item x="298"/>
        <item x="119"/>
        <item x="670"/>
        <item x="293"/>
        <item x="504"/>
        <item x="38"/>
        <item x="517"/>
        <item x="652"/>
        <item x="70"/>
        <item x="368"/>
        <item x="800"/>
        <item x="333"/>
        <item x="321"/>
        <item x="366"/>
        <item t="default"/>
      </items>
    </pivotField>
    <pivotField numFmtI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7"/>
    <field x="6"/>
    <field x="3"/>
  </rowFields>
  <rowItems count="9">
    <i>
      <x v="1"/>
    </i>
    <i>
      <x v="2"/>
    </i>
    <i>
      <x v="3"/>
    </i>
    <i>
      <x v="4"/>
    </i>
    <i>
      <x v="5"/>
    </i>
    <i>
      <x v="6"/>
    </i>
    <i>
      <x v="7"/>
    </i>
    <i>
      <x v="8"/>
    </i>
    <i t="grand">
      <x/>
    </i>
  </rowItems>
  <colItems count="1">
    <i/>
  </colItems>
  <dataFields count="1">
    <dataField name="Sum of Amount" fld="4" baseField="0" baseItem="0" numFmtId="164"/>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16A81A4-20EF-4F49-A872-9A4B8DA346B1}" name="PivotTable12"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S1:U24" firstHeaderRow="0" firstDataRow="1" firstDataCol="1"/>
  <pivotFields count="8">
    <pivotField showAll="0"/>
    <pivotField showAll="0">
      <items count="7">
        <item x="2"/>
        <item x="5"/>
        <item x="1"/>
        <item x="3"/>
        <item x="0"/>
        <item x="4"/>
        <item t="default"/>
      </items>
    </pivotField>
    <pivotField axis="axisRow" showAll="0" sortType="ascending">
      <items count="23">
        <item x="6"/>
        <item x="21"/>
        <item x="1"/>
        <item x="4"/>
        <item x="5"/>
        <item x="16"/>
        <item x="19"/>
        <item x="20"/>
        <item x="18"/>
        <item x="9"/>
        <item x="8"/>
        <item x="13"/>
        <item x="15"/>
        <item x="11"/>
        <item x="0"/>
        <item x="7"/>
        <item x="10"/>
        <item x="2"/>
        <item x="17"/>
        <item x="3"/>
        <item x="12"/>
        <item x="14"/>
        <item t="default"/>
      </items>
      <autoSortScope>
        <pivotArea dataOnly="0" outline="0" fieldPosition="0">
          <references count="1">
            <reference field="4294967294" count="1" selected="0">
              <x v="0"/>
            </reference>
          </references>
        </pivotArea>
      </autoSortScope>
    </pivotField>
    <pivotField numFmtId="14"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dataField="1" numFmtId="164" showAll="0"/>
    <pivotField dataField="1" numFmtI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23">
    <i>
      <x v="8"/>
    </i>
    <i>
      <x v="14"/>
    </i>
    <i>
      <x v="12"/>
    </i>
    <i>
      <x v="6"/>
    </i>
    <i>
      <x v="21"/>
    </i>
    <i>
      <x v="5"/>
    </i>
    <i>
      <x v="3"/>
    </i>
    <i>
      <x v="2"/>
    </i>
    <i>
      <x v="7"/>
    </i>
    <i>
      <x v="19"/>
    </i>
    <i>
      <x v="20"/>
    </i>
    <i>
      <x v="10"/>
    </i>
    <i>
      <x v="1"/>
    </i>
    <i>
      <x v="17"/>
    </i>
    <i>
      <x v="11"/>
    </i>
    <i>
      <x v="4"/>
    </i>
    <i>
      <x/>
    </i>
    <i>
      <x v="15"/>
    </i>
    <i>
      <x v="18"/>
    </i>
    <i>
      <x v="9"/>
    </i>
    <i>
      <x v="16"/>
    </i>
    <i>
      <x v="13"/>
    </i>
    <i t="grand">
      <x/>
    </i>
  </rowItems>
  <colFields count="1">
    <field x="-2"/>
  </colFields>
  <colItems count="2">
    <i>
      <x/>
    </i>
    <i i="1">
      <x v="1"/>
    </i>
  </colItems>
  <dataFields count="2">
    <dataField name="Sum of Amount" fld="4" baseField="0" baseItem="0" numFmtId="164"/>
    <dataField name="Sum of Boxes Shipped" fld="5" baseField="0" baseItem="0" numFmtId="1"/>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2" count="1" selected="0">
            <x v="16"/>
          </reference>
        </references>
      </pivotArea>
    </chartFormat>
    <chartFormat chart="4" format="7">
      <pivotArea type="data" outline="0" fieldPosition="0">
        <references count="2">
          <reference field="4294967294" count="1" selected="0">
            <x v="1"/>
          </reference>
          <reference field="2" count="1" selected="0">
            <x v="13"/>
          </reference>
        </references>
      </pivotArea>
    </chartFormat>
    <chartFormat chart="4" format="8">
      <pivotArea type="data" outline="0" fieldPosition="0">
        <references count="2">
          <reference field="4294967294" count="1" selected="0">
            <x v="1"/>
          </reference>
          <reference field="2" count="1" selected="0">
            <x v="9"/>
          </reference>
        </references>
      </pivotArea>
    </chartFormat>
    <chartFormat chart="4" format="9">
      <pivotArea type="data" outline="0" fieldPosition="0">
        <references count="2">
          <reference field="4294967294" count="1" selected="0">
            <x v="1"/>
          </reference>
          <reference field="2" count="1" selected="0">
            <x v="18"/>
          </reference>
        </references>
      </pivotArea>
    </chartFormat>
    <chartFormat chart="4" format="10">
      <pivotArea type="data" outline="0" fieldPosition="0">
        <references count="2">
          <reference field="4294967294" count="1" selected="0">
            <x v="1"/>
          </reference>
          <reference field="2" count="1" selected="0">
            <x v="15"/>
          </reference>
        </references>
      </pivotArea>
    </chartFormat>
    <chartFormat chart="4" format="11">
      <pivotArea type="data" outline="0" fieldPosition="0">
        <references count="2">
          <reference field="4294967294" count="1" selected="0">
            <x v="1"/>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3ADC1D1-B742-43E0-A03C-5F1C81D71BD9}" name="PivotTable7"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A8" firstHeaderRow="1" firstDataRow="1" firstDataCol="0"/>
  <pivotFields count="8">
    <pivotField dataField="1" showAll="0"/>
    <pivotField showAll="0">
      <items count="7">
        <item x="2"/>
        <item x="5"/>
        <item x="1"/>
        <item x="3"/>
        <item x="0"/>
        <item x="4"/>
        <item t="default"/>
      </items>
    </pivotField>
    <pivotField showAll="0"/>
    <pivotField numFmtId="14"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numFmtId="164"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Sales Pers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982B0D3-750D-4845-803D-43B0BAA1D75E}" sourceName="Country">
  <pivotTables>
    <pivotTable tabId="3" name="PivotTable8"/>
    <pivotTable tabId="3" name="PivotTable1"/>
    <pivotTable tabId="3" name="PivotTable11"/>
    <pivotTable tabId="3" name="PivotTable12"/>
    <pivotTable tabId="3" name="PivotTable13"/>
    <pivotTable tabId="3" name="PivotTable14"/>
    <pivotTable tabId="3" name="PivotTable16"/>
    <pivotTable tabId="3" name="PivotTable17"/>
    <pivotTable tabId="3" name="PivotTable2"/>
    <pivotTable tabId="3" name="PivotTable5"/>
    <pivotTable tabId="3" name="PivotTable6"/>
    <pivotTable tabId="3" name="PivotTable7"/>
    <pivotTable tabId="3" name="PivotTable9"/>
  </pivotTables>
  <data>
    <tabular pivotCacheId="1345952895">
      <items count="6">
        <i x="2" s="1"/>
        <i x="5" s="1"/>
        <i x="1" s="1"/>
        <i x="3"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8970B7F-04DE-4B91-A814-6F44AD399AB2}" cache="Slicer_Country" caption="Country" columnCount="2" style="Slicer Style 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2E345E2-FD50-4E10-B7C7-AB76B6B3A1DD}" sourceName="Date">
  <pivotTables>
    <pivotTable tabId="3" name="PivotTable8"/>
    <pivotTable tabId="3" name="PivotTable1"/>
    <pivotTable tabId="3" name="PivotTable11"/>
    <pivotTable tabId="3" name="PivotTable12"/>
    <pivotTable tabId="3" name="PivotTable13"/>
    <pivotTable tabId="3" name="PivotTable14"/>
    <pivotTable tabId="3" name="PivotTable16"/>
    <pivotTable tabId="3" name="PivotTable17"/>
    <pivotTable tabId="3" name="PivotTable2"/>
    <pivotTable tabId="3" name="PivotTable5"/>
    <pivotTable tabId="3" name="PivotTable6"/>
    <pivotTable tabId="3" name="PivotTable7"/>
    <pivotTable tabId="3" name="PivotTable9"/>
  </pivotTables>
  <state minimalRefreshVersion="6" lastRefreshVersion="6" pivotCacheId="1345952895"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E42807C-43DB-4598-B2D1-112BA75FE787}" cache="NativeTimeline_Date" caption="Date" level="2" selectionLevel="2" scrollPosition="2022-06-02T00:00:00" style="Timeline Style 2"/>
</timeline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4132F-7793-402E-A2C8-99349A2F7C45}">
  <dimension ref="A1:A1095"/>
  <sheetViews>
    <sheetView workbookViewId="0">
      <selection activeCell="G11" sqref="G11"/>
    </sheetView>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1" x14ac:dyDescent="0.25">
      <c r="A145" t="s">
        <v>144</v>
      </c>
    </row>
    <row r="146" spans="1:1" x14ac:dyDescent="0.25">
      <c r="A146" t="s">
        <v>145</v>
      </c>
    </row>
    <row r="147" spans="1:1" x14ac:dyDescent="0.25">
      <c r="A147" t="s">
        <v>146</v>
      </c>
    </row>
    <row r="148" spans="1:1" x14ac:dyDescent="0.25">
      <c r="A148" t="s">
        <v>147</v>
      </c>
    </row>
    <row r="149" spans="1:1" x14ac:dyDescent="0.25">
      <c r="A149" t="s">
        <v>148</v>
      </c>
    </row>
    <row r="150" spans="1:1" x14ac:dyDescent="0.25">
      <c r="A150" t="s">
        <v>149</v>
      </c>
    </row>
    <row r="151" spans="1:1" x14ac:dyDescent="0.25">
      <c r="A151" t="s">
        <v>150</v>
      </c>
    </row>
    <row r="152" spans="1:1" x14ac:dyDescent="0.25">
      <c r="A152" t="s">
        <v>151</v>
      </c>
    </row>
    <row r="153" spans="1:1" x14ac:dyDescent="0.25">
      <c r="A153" t="s">
        <v>152</v>
      </c>
    </row>
    <row r="154" spans="1:1" x14ac:dyDescent="0.25">
      <c r="A154" t="s">
        <v>153</v>
      </c>
    </row>
    <row r="155" spans="1:1" x14ac:dyDescent="0.25">
      <c r="A155" t="s">
        <v>154</v>
      </c>
    </row>
    <row r="156" spans="1:1" x14ac:dyDescent="0.25">
      <c r="A156" t="s">
        <v>155</v>
      </c>
    </row>
    <row r="157" spans="1:1" x14ac:dyDescent="0.25">
      <c r="A157" t="s">
        <v>156</v>
      </c>
    </row>
    <row r="158" spans="1:1" x14ac:dyDescent="0.25">
      <c r="A158" t="s">
        <v>157</v>
      </c>
    </row>
    <row r="159" spans="1:1" x14ac:dyDescent="0.25">
      <c r="A159" t="s">
        <v>158</v>
      </c>
    </row>
    <row r="160" spans="1:1" x14ac:dyDescent="0.25">
      <c r="A160" t="s">
        <v>159</v>
      </c>
    </row>
    <row r="161" spans="1:1" x14ac:dyDescent="0.25">
      <c r="A161" t="s">
        <v>160</v>
      </c>
    </row>
    <row r="162" spans="1:1" x14ac:dyDescent="0.25">
      <c r="A162" t="s">
        <v>161</v>
      </c>
    </row>
    <row r="163" spans="1:1" x14ac:dyDescent="0.25">
      <c r="A163" t="s">
        <v>162</v>
      </c>
    </row>
    <row r="164" spans="1:1" x14ac:dyDescent="0.25">
      <c r="A164" t="s">
        <v>163</v>
      </c>
    </row>
    <row r="165" spans="1:1" x14ac:dyDescent="0.25">
      <c r="A165" t="s">
        <v>164</v>
      </c>
    </row>
    <row r="166" spans="1:1" x14ac:dyDescent="0.25">
      <c r="A166" t="s">
        <v>165</v>
      </c>
    </row>
    <row r="167" spans="1:1" x14ac:dyDescent="0.25">
      <c r="A167" t="s">
        <v>166</v>
      </c>
    </row>
    <row r="168" spans="1:1" x14ac:dyDescent="0.25">
      <c r="A168" t="s">
        <v>167</v>
      </c>
    </row>
    <row r="169" spans="1:1" x14ac:dyDescent="0.25">
      <c r="A169" t="s">
        <v>168</v>
      </c>
    </row>
    <row r="170" spans="1:1" x14ac:dyDescent="0.25">
      <c r="A170" t="s">
        <v>169</v>
      </c>
    </row>
    <row r="171" spans="1:1" x14ac:dyDescent="0.25">
      <c r="A171" t="s">
        <v>170</v>
      </c>
    </row>
    <row r="172" spans="1:1" x14ac:dyDescent="0.25">
      <c r="A172" t="s">
        <v>171</v>
      </c>
    </row>
    <row r="173" spans="1:1" x14ac:dyDescent="0.25">
      <c r="A173" t="s">
        <v>172</v>
      </c>
    </row>
    <row r="174" spans="1:1" x14ac:dyDescent="0.25">
      <c r="A174" t="s">
        <v>173</v>
      </c>
    </row>
    <row r="175" spans="1:1" x14ac:dyDescent="0.25">
      <c r="A175" t="s">
        <v>174</v>
      </c>
    </row>
    <row r="176" spans="1:1" x14ac:dyDescent="0.25">
      <c r="A176" t="s">
        <v>175</v>
      </c>
    </row>
    <row r="177" spans="1:1" x14ac:dyDescent="0.25">
      <c r="A177" t="s">
        <v>176</v>
      </c>
    </row>
    <row r="178" spans="1:1" x14ac:dyDescent="0.25">
      <c r="A178" t="s">
        <v>177</v>
      </c>
    </row>
    <row r="179" spans="1:1" x14ac:dyDescent="0.25">
      <c r="A179" t="s">
        <v>178</v>
      </c>
    </row>
    <row r="180" spans="1:1" x14ac:dyDescent="0.25">
      <c r="A180" t="s">
        <v>179</v>
      </c>
    </row>
    <row r="181" spans="1:1" x14ac:dyDescent="0.25">
      <c r="A181" t="s">
        <v>180</v>
      </c>
    </row>
    <row r="182" spans="1:1" x14ac:dyDescent="0.25">
      <c r="A182" t="s">
        <v>181</v>
      </c>
    </row>
    <row r="183" spans="1:1" x14ac:dyDescent="0.25">
      <c r="A183" t="s">
        <v>182</v>
      </c>
    </row>
    <row r="184" spans="1:1" x14ac:dyDescent="0.25">
      <c r="A184" t="s">
        <v>183</v>
      </c>
    </row>
    <row r="185" spans="1:1" x14ac:dyDescent="0.25">
      <c r="A185" t="s">
        <v>184</v>
      </c>
    </row>
    <row r="186" spans="1:1" x14ac:dyDescent="0.25">
      <c r="A186" t="s">
        <v>185</v>
      </c>
    </row>
    <row r="187" spans="1:1" x14ac:dyDescent="0.25">
      <c r="A187" t="s">
        <v>186</v>
      </c>
    </row>
    <row r="188" spans="1:1" x14ac:dyDescent="0.25">
      <c r="A188" t="s">
        <v>187</v>
      </c>
    </row>
    <row r="189" spans="1:1" x14ac:dyDescent="0.25">
      <c r="A189" t="s">
        <v>188</v>
      </c>
    </row>
    <row r="190" spans="1:1" x14ac:dyDescent="0.25">
      <c r="A190" t="s">
        <v>189</v>
      </c>
    </row>
    <row r="191" spans="1:1" x14ac:dyDescent="0.25">
      <c r="A191" t="s">
        <v>190</v>
      </c>
    </row>
    <row r="192" spans="1:1" x14ac:dyDescent="0.25">
      <c r="A192" t="s">
        <v>191</v>
      </c>
    </row>
    <row r="193" spans="1:1" x14ac:dyDescent="0.25">
      <c r="A193" t="s">
        <v>192</v>
      </c>
    </row>
    <row r="194" spans="1:1" x14ac:dyDescent="0.25">
      <c r="A194" t="s">
        <v>193</v>
      </c>
    </row>
    <row r="195" spans="1:1" x14ac:dyDescent="0.25">
      <c r="A195" t="s">
        <v>194</v>
      </c>
    </row>
    <row r="196" spans="1:1" x14ac:dyDescent="0.25">
      <c r="A196" t="s">
        <v>195</v>
      </c>
    </row>
    <row r="197" spans="1:1" x14ac:dyDescent="0.25">
      <c r="A197" t="s">
        <v>196</v>
      </c>
    </row>
    <row r="198" spans="1:1" x14ac:dyDescent="0.25">
      <c r="A198" t="s">
        <v>197</v>
      </c>
    </row>
    <row r="199" spans="1:1" x14ac:dyDescent="0.25">
      <c r="A199" t="s">
        <v>198</v>
      </c>
    </row>
    <row r="200" spans="1:1" x14ac:dyDescent="0.25">
      <c r="A200" t="s">
        <v>199</v>
      </c>
    </row>
    <row r="201" spans="1:1" x14ac:dyDescent="0.25">
      <c r="A201" t="s">
        <v>200</v>
      </c>
    </row>
    <row r="202" spans="1:1" x14ac:dyDescent="0.25">
      <c r="A202" t="s">
        <v>201</v>
      </c>
    </row>
    <row r="203" spans="1:1" x14ac:dyDescent="0.25">
      <c r="A203" t="s">
        <v>202</v>
      </c>
    </row>
    <row r="204" spans="1:1" x14ac:dyDescent="0.25">
      <c r="A204" t="s">
        <v>203</v>
      </c>
    </row>
    <row r="205" spans="1:1" x14ac:dyDescent="0.25">
      <c r="A205" t="s">
        <v>204</v>
      </c>
    </row>
    <row r="206" spans="1:1" x14ac:dyDescent="0.25">
      <c r="A206" t="s">
        <v>205</v>
      </c>
    </row>
    <row r="207" spans="1:1" x14ac:dyDescent="0.25">
      <c r="A207" t="s">
        <v>206</v>
      </c>
    </row>
    <row r="208" spans="1:1" x14ac:dyDescent="0.25">
      <c r="A208" t="s">
        <v>207</v>
      </c>
    </row>
    <row r="209" spans="1:1" x14ac:dyDescent="0.25">
      <c r="A209" t="s">
        <v>208</v>
      </c>
    </row>
    <row r="210" spans="1:1" x14ac:dyDescent="0.25">
      <c r="A210" t="s">
        <v>209</v>
      </c>
    </row>
    <row r="211" spans="1:1" x14ac:dyDescent="0.25">
      <c r="A211" t="s">
        <v>210</v>
      </c>
    </row>
    <row r="212" spans="1:1" x14ac:dyDescent="0.25">
      <c r="A212" t="s">
        <v>211</v>
      </c>
    </row>
    <row r="213" spans="1:1" x14ac:dyDescent="0.25">
      <c r="A213" t="s">
        <v>212</v>
      </c>
    </row>
    <row r="214" spans="1:1" x14ac:dyDescent="0.25">
      <c r="A214" t="s">
        <v>213</v>
      </c>
    </row>
    <row r="215" spans="1:1" x14ac:dyDescent="0.25">
      <c r="A215" t="s">
        <v>214</v>
      </c>
    </row>
    <row r="216" spans="1:1" x14ac:dyDescent="0.25">
      <c r="A216" t="s">
        <v>215</v>
      </c>
    </row>
    <row r="217" spans="1:1" x14ac:dyDescent="0.25">
      <c r="A217" t="s">
        <v>216</v>
      </c>
    </row>
    <row r="218" spans="1:1" x14ac:dyDescent="0.25">
      <c r="A218" t="s">
        <v>217</v>
      </c>
    </row>
    <row r="219" spans="1:1" x14ac:dyDescent="0.25">
      <c r="A219" t="s">
        <v>218</v>
      </c>
    </row>
    <row r="220" spans="1:1" x14ac:dyDescent="0.25">
      <c r="A220" t="s">
        <v>219</v>
      </c>
    </row>
    <row r="221" spans="1:1" x14ac:dyDescent="0.25">
      <c r="A221" t="s">
        <v>220</v>
      </c>
    </row>
    <row r="222" spans="1:1" x14ac:dyDescent="0.25">
      <c r="A222" t="s">
        <v>221</v>
      </c>
    </row>
    <row r="223" spans="1:1" x14ac:dyDescent="0.25">
      <c r="A223" t="s">
        <v>222</v>
      </c>
    </row>
    <row r="224" spans="1:1" x14ac:dyDescent="0.25">
      <c r="A224" t="s">
        <v>223</v>
      </c>
    </row>
    <row r="225" spans="1:1" x14ac:dyDescent="0.25">
      <c r="A225" t="s">
        <v>224</v>
      </c>
    </row>
    <row r="226" spans="1:1" x14ac:dyDescent="0.25">
      <c r="A226" t="s">
        <v>225</v>
      </c>
    </row>
    <row r="227" spans="1:1" x14ac:dyDescent="0.25">
      <c r="A227" t="s">
        <v>226</v>
      </c>
    </row>
    <row r="228" spans="1:1" x14ac:dyDescent="0.25">
      <c r="A228" t="s">
        <v>227</v>
      </c>
    </row>
    <row r="229" spans="1:1" x14ac:dyDescent="0.25">
      <c r="A229" t="s">
        <v>228</v>
      </c>
    </row>
    <row r="230" spans="1:1" x14ac:dyDescent="0.25">
      <c r="A230" t="s">
        <v>229</v>
      </c>
    </row>
    <row r="231" spans="1:1" x14ac:dyDescent="0.25">
      <c r="A231" t="s">
        <v>230</v>
      </c>
    </row>
    <row r="232" spans="1:1" x14ac:dyDescent="0.25">
      <c r="A232" t="s">
        <v>231</v>
      </c>
    </row>
    <row r="233" spans="1:1" x14ac:dyDescent="0.25">
      <c r="A233" t="s">
        <v>232</v>
      </c>
    </row>
    <row r="234" spans="1:1" x14ac:dyDescent="0.25">
      <c r="A234" t="s">
        <v>233</v>
      </c>
    </row>
    <row r="235" spans="1:1" x14ac:dyDescent="0.25">
      <c r="A235" t="s">
        <v>234</v>
      </c>
    </row>
    <row r="236" spans="1:1" x14ac:dyDescent="0.25">
      <c r="A236" t="s">
        <v>235</v>
      </c>
    </row>
    <row r="237" spans="1:1" x14ac:dyDescent="0.25">
      <c r="A237" t="s">
        <v>236</v>
      </c>
    </row>
    <row r="238" spans="1:1" x14ac:dyDescent="0.25">
      <c r="A238" t="s">
        <v>237</v>
      </c>
    </row>
    <row r="239" spans="1:1" x14ac:dyDescent="0.25">
      <c r="A239" t="s">
        <v>238</v>
      </c>
    </row>
    <row r="240" spans="1:1" x14ac:dyDescent="0.25">
      <c r="A240" t="s">
        <v>239</v>
      </c>
    </row>
    <row r="241" spans="1:1" x14ac:dyDescent="0.25">
      <c r="A241" t="s">
        <v>240</v>
      </c>
    </row>
    <row r="242" spans="1:1" x14ac:dyDescent="0.25">
      <c r="A242" t="s">
        <v>241</v>
      </c>
    </row>
    <row r="243" spans="1:1" x14ac:dyDescent="0.25">
      <c r="A243" t="s">
        <v>242</v>
      </c>
    </row>
    <row r="244" spans="1:1" x14ac:dyDescent="0.25">
      <c r="A244" t="s">
        <v>243</v>
      </c>
    </row>
    <row r="245" spans="1:1" x14ac:dyDescent="0.25">
      <c r="A245" t="s">
        <v>244</v>
      </c>
    </row>
    <row r="246" spans="1:1" x14ac:dyDescent="0.25">
      <c r="A246" t="s">
        <v>245</v>
      </c>
    </row>
    <row r="247" spans="1:1" x14ac:dyDescent="0.25">
      <c r="A247" t="s">
        <v>246</v>
      </c>
    </row>
    <row r="248" spans="1:1" x14ac:dyDescent="0.25">
      <c r="A248" t="s">
        <v>247</v>
      </c>
    </row>
    <row r="249" spans="1:1" x14ac:dyDescent="0.25">
      <c r="A249" t="s">
        <v>248</v>
      </c>
    </row>
    <row r="250" spans="1:1" x14ac:dyDescent="0.25">
      <c r="A250" t="s">
        <v>249</v>
      </c>
    </row>
    <row r="251" spans="1:1" x14ac:dyDescent="0.25">
      <c r="A251" t="s">
        <v>250</v>
      </c>
    </row>
    <row r="252" spans="1:1" x14ac:dyDescent="0.25">
      <c r="A252" t="s">
        <v>251</v>
      </c>
    </row>
    <row r="253" spans="1:1" x14ac:dyDescent="0.25">
      <c r="A253" t="s">
        <v>252</v>
      </c>
    </row>
    <row r="254" spans="1:1" x14ac:dyDescent="0.25">
      <c r="A254" t="s">
        <v>253</v>
      </c>
    </row>
    <row r="255" spans="1:1" x14ac:dyDescent="0.25">
      <c r="A255" t="s">
        <v>254</v>
      </c>
    </row>
    <row r="256" spans="1:1" x14ac:dyDescent="0.25">
      <c r="A256" t="s">
        <v>255</v>
      </c>
    </row>
    <row r="257" spans="1:1" x14ac:dyDescent="0.25">
      <c r="A257" t="s">
        <v>256</v>
      </c>
    </row>
    <row r="258" spans="1:1" x14ac:dyDescent="0.25">
      <c r="A258" t="s">
        <v>257</v>
      </c>
    </row>
    <row r="259" spans="1:1" x14ac:dyDescent="0.25">
      <c r="A259" t="s">
        <v>258</v>
      </c>
    </row>
    <row r="260" spans="1:1" x14ac:dyDescent="0.25">
      <c r="A260" t="s">
        <v>259</v>
      </c>
    </row>
    <row r="261" spans="1:1" x14ac:dyDescent="0.25">
      <c r="A261" t="s">
        <v>260</v>
      </c>
    </row>
    <row r="262" spans="1:1" x14ac:dyDescent="0.25">
      <c r="A262" t="s">
        <v>261</v>
      </c>
    </row>
    <row r="263" spans="1:1" x14ac:dyDescent="0.25">
      <c r="A263" t="s">
        <v>262</v>
      </c>
    </row>
    <row r="264" spans="1:1" x14ac:dyDescent="0.25">
      <c r="A264" t="s">
        <v>263</v>
      </c>
    </row>
    <row r="265" spans="1:1" x14ac:dyDescent="0.25">
      <c r="A265" t="s">
        <v>264</v>
      </c>
    </row>
    <row r="266" spans="1:1" x14ac:dyDescent="0.25">
      <c r="A266" t="s">
        <v>265</v>
      </c>
    </row>
    <row r="267" spans="1:1" x14ac:dyDescent="0.25">
      <c r="A267" t="s">
        <v>266</v>
      </c>
    </row>
    <row r="268" spans="1:1" x14ac:dyDescent="0.25">
      <c r="A268" t="s">
        <v>267</v>
      </c>
    </row>
    <row r="269" spans="1:1" x14ac:dyDescent="0.25">
      <c r="A269" t="s">
        <v>268</v>
      </c>
    </row>
    <row r="270" spans="1:1" x14ac:dyDescent="0.25">
      <c r="A270" t="s">
        <v>269</v>
      </c>
    </row>
    <row r="271" spans="1:1" x14ac:dyDescent="0.25">
      <c r="A271" t="s">
        <v>270</v>
      </c>
    </row>
    <row r="272" spans="1:1" x14ac:dyDescent="0.25">
      <c r="A272" t="s">
        <v>271</v>
      </c>
    </row>
    <row r="273" spans="1:1" x14ac:dyDescent="0.25">
      <c r="A273" t="s">
        <v>272</v>
      </c>
    </row>
    <row r="274" spans="1:1" x14ac:dyDescent="0.25">
      <c r="A274" t="s">
        <v>273</v>
      </c>
    </row>
    <row r="275" spans="1:1" x14ac:dyDescent="0.25">
      <c r="A275" t="s">
        <v>274</v>
      </c>
    </row>
    <row r="276" spans="1:1" x14ac:dyDescent="0.25">
      <c r="A276" t="s">
        <v>275</v>
      </c>
    </row>
    <row r="277" spans="1:1" x14ac:dyDescent="0.25">
      <c r="A277" t="s">
        <v>276</v>
      </c>
    </row>
    <row r="278" spans="1:1" x14ac:dyDescent="0.25">
      <c r="A278" t="s">
        <v>277</v>
      </c>
    </row>
    <row r="279" spans="1:1" x14ac:dyDescent="0.25">
      <c r="A279" t="s">
        <v>278</v>
      </c>
    </row>
    <row r="280" spans="1:1" x14ac:dyDescent="0.25">
      <c r="A280" t="s">
        <v>279</v>
      </c>
    </row>
    <row r="281" spans="1:1" x14ac:dyDescent="0.25">
      <c r="A281" t="s">
        <v>280</v>
      </c>
    </row>
    <row r="282" spans="1:1" x14ac:dyDescent="0.25">
      <c r="A282" t="s">
        <v>281</v>
      </c>
    </row>
    <row r="283" spans="1:1" x14ac:dyDescent="0.25">
      <c r="A283" t="s">
        <v>282</v>
      </c>
    </row>
    <row r="284" spans="1:1" x14ac:dyDescent="0.25">
      <c r="A284" t="s">
        <v>283</v>
      </c>
    </row>
    <row r="285" spans="1:1" x14ac:dyDescent="0.25">
      <c r="A285" t="s">
        <v>284</v>
      </c>
    </row>
    <row r="286" spans="1:1" x14ac:dyDescent="0.25">
      <c r="A286" t="s">
        <v>285</v>
      </c>
    </row>
    <row r="287" spans="1:1" x14ac:dyDescent="0.25">
      <c r="A287" t="s">
        <v>286</v>
      </c>
    </row>
    <row r="288" spans="1:1" x14ac:dyDescent="0.25">
      <c r="A288" t="s">
        <v>287</v>
      </c>
    </row>
    <row r="289" spans="1:1" x14ac:dyDescent="0.25">
      <c r="A289" t="s">
        <v>288</v>
      </c>
    </row>
    <row r="290" spans="1:1" x14ac:dyDescent="0.25">
      <c r="A290" t="s">
        <v>289</v>
      </c>
    </row>
    <row r="291" spans="1:1" x14ac:dyDescent="0.25">
      <c r="A291" t="s">
        <v>290</v>
      </c>
    </row>
    <row r="292" spans="1:1" x14ac:dyDescent="0.25">
      <c r="A292" t="s">
        <v>291</v>
      </c>
    </row>
    <row r="293" spans="1:1" x14ac:dyDescent="0.25">
      <c r="A293" t="s">
        <v>292</v>
      </c>
    </row>
    <row r="294" spans="1:1" x14ac:dyDescent="0.25">
      <c r="A294" t="s">
        <v>293</v>
      </c>
    </row>
    <row r="295" spans="1:1" x14ac:dyDescent="0.25">
      <c r="A295" t="s">
        <v>294</v>
      </c>
    </row>
    <row r="296" spans="1:1" x14ac:dyDescent="0.25">
      <c r="A296" t="s">
        <v>295</v>
      </c>
    </row>
    <row r="297" spans="1:1" x14ac:dyDescent="0.25">
      <c r="A297" t="s">
        <v>296</v>
      </c>
    </row>
    <row r="298" spans="1:1" x14ac:dyDescent="0.25">
      <c r="A298" t="s">
        <v>297</v>
      </c>
    </row>
    <row r="299" spans="1:1" x14ac:dyDescent="0.25">
      <c r="A299" t="s">
        <v>298</v>
      </c>
    </row>
    <row r="300" spans="1:1" x14ac:dyDescent="0.25">
      <c r="A300" t="s">
        <v>299</v>
      </c>
    </row>
    <row r="301" spans="1:1" x14ac:dyDescent="0.25">
      <c r="A301" t="s">
        <v>300</v>
      </c>
    </row>
    <row r="302" spans="1:1" x14ac:dyDescent="0.25">
      <c r="A302" t="s">
        <v>301</v>
      </c>
    </row>
    <row r="303" spans="1:1" x14ac:dyDescent="0.25">
      <c r="A303" t="s">
        <v>302</v>
      </c>
    </row>
    <row r="304" spans="1:1" x14ac:dyDescent="0.25">
      <c r="A304" t="s">
        <v>303</v>
      </c>
    </row>
    <row r="305" spans="1:1" x14ac:dyDescent="0.25">
      <c r="A305" t="s">
        <v>304</v>
      </c>
    </row>
    <row r="306" spans="1:1" x14ac:dyDescent="0.25">
      <c r="A306" t="s">
        <v>305</v>
      </c>
    </row>
    <row r="307" spans="1:1" x14ac:dyDescent="0.25">
      <c r="A307" t="s">
        <v>306</v>
      </c>
    </row>
    <row r="308" spans="1:1" x14ac:dyDescent="0.25">
      <c r="A308" t="s">
        <v>307</v>
      </c>
    </row>
    <row r="309" spans="1:1" x14ac:dyDescent="0.25">
      <c r="A309" t="s">
        <v>308</v>
      </c>
    </row>
    <row r="310" spans="1:1" x14ac:dyDescent="0.25">
      <c r="A310" t="s">
        <v>309</v>
      </c>
    </row>
    <row r="311" spans="1:1" x14ac:dyDescent="0.25">
      <c r="A311" t="s">
        <v>310</v>
      </c>
    </row>
    <row r="312" spans="1:1" x14ac:dyDescent="0.25">
      <c r="A312" t="s">
        <v>311</v>
      </c>
    </row>
    <row r="313" spans="1:1" x14ac:dyDescent="0.25">
      <c r="A313" t="s">
        <v>312</v>
      </c>
    </row>
    <row r="314" spans="1:1" x14ac:dyDescent="0.25">
      <c r="A314" t="s">
        <v>313</v>
      </c>
    </row>
    <row r="315" spans="1:1" x14ac:dyDescent="0.25">
      <c r="A315" t="s">
        <v>314</v>
      </c>
    </row>
    <row r="316" spans="1:1" x14ac:dyDescent="0.25">
      <c r="A316" t="s">
        <v>315</v>
      </c>
    </row>
    <row r="317" spans="1:1" x14ac:dyDescent="0.25">
      <c r="A317" t="s">
        <v>316</v>
      </c>
    </row>
    <row r="318" spans="1:1" x14ac:dyDescent="0.25">
      <c r="A318" t="s">
        <v>317</v>
      </c>
    </row>
    <row r="319" spans="1:1" x14ac:dyDescent="0.25">
      <c r="A319" t="s">
        <v>318</v>
      </c>
    </row>
    <row r="320" spans="1:1" x14ac:dyDescent="0.25">
      <c r="A320" t="s">
        <v>319</v>
      </c>
    </row>
    <row r="321" spans="1:1" x14ac:dyDescent="0.25">
      <c r="A321" t="s">
        <v>320</v>
      </c>
    </row>
    <row r="322" spans="1:1" x14ac:dyDescent="0.25">
      <c r="A322" t="s">
        <v>321</v>
      </c>
    </row>
    <row r="323" spans="1:1" x14ac:dyDescent="0.25">
      <c r="A323" t="s">
        <v>322</v>
      </c>
    </row>
    <row r="324" spans="1:1" x14ac:dyDescent="0.25">
      <c r="A324" t="s">
        <v>323</v>
      </c>
    </row>
    <row r="325" spans="1:1" x14ac:dyDescent="0.25">
      <c r="A325" t="s">
        <v>324</v>
      </c>
    </row>
    <row r="326" spans="1:1" x14ac:dyDescent="0.25">
      <c r="A326" t="s">
        <v>325</v>
      </c>
    </row>
    <row r="327" spans="1:1" x14ac:dyDescent="0.25">
      <c r="A327" t="s">
        <v>326</v>
      </c>
    </row>
    <row r="328" spans="1:1" x14ac:dyDescent="0.25">
      <c r="A328" t="s">
        <v>327</v>
      </c>
    </row>
    <row r="329" spans="1:1" x14ac:dyDescent="0.25">
      <c r="A329" t="s">
        <v>328</v>
      </c>
    </row>
    <row r="330" spans="1:1" x14ac:dyDescent="0.25">
      <c r="A330" t="s">
        <v>329</v>
      </c>
    </row>
    <row r="331" spans="1:1" x14ac:dyDescent="0.25">
      <c r="A331" t="s">
        <v>330</v>
      </c>
    </row>
    <row r="332" spans="1:1" x14ac:dyDescent="0.25">
      <c r="A332" t="s">
        <v>331</v>
      </c>
    </row>
    <row r="333" spans="1:1" x14ac:dyDescent="0.25">
      <c r="A333" t="s">
        <v>332</v>
      </c>
    </row>
    <row r="334" spans="1:1" x14ac:dyDescent="0.25">
      <c r="A334" t="s">
        <v>333</v>
      </c>
    </row>
    <row r="335" spans="1:1" x14ac:dyDescent="0.25">
      <c r="A335" t="s">
        <v>334</v>
      </c>
    </row>
    <row r="336" spans="1:1" x14ac:dyDescent="0.25">
      <c r="A336" t="s">
        <v>335</v>
      </c>
    </row>
    <row r="337" spans="1:1" x14ac:dyDescent="0.25">
      <c r="A337" t="s">
        <v>336</v>
      </c>
    </row>
    <row r="338" spans="1:1" x14ac:dyDescent="0.25">
      <c r="A338" t="s">
        <v>337</v>
      </c>
    </row>
    <row r="339" spans="1:1" x14ac:dyDescent="0.25">
      <c r="A339" t="s">
        <v>338</v>
      </c>
    </row>
    <row r="340" spans="1:1" x14ac:dyDescent="0.25">
      <c r="A340" t="s">
        <v>339</v>
      </c>
    </row>
    <row r="341" spans="1:1" x14ac:dyDescent="0.25">
      <c r="A341" t="s">
        <v>340</v>
      </c>
    </row>
    <row r="342" spans="1:1" x14ac:dyDescent="0.25">
      <c r="A342" t="s">
        <v>341</v>
      </c>
    </row>
    <row r="343" spans="1:1" x14ac:dyDescent="0.25">
      <c r="A343" t="s">
        <v>342</v>
      </c>
    </row>
    <row r="344" spans="1:1" x14ac:dyDescent="0.25">
      <c r="A344" t="s">
        <v>343</v>
      </c>
    </row>
    <row r="345" spans="1:1" x14ac:dyDescent="0.25">
      <c r="A345" t="s">
        <v>344</v>
      </c>
    </row>
    <row r="346" spans="1:1" x14ac:dyDescent="0.25">
      <c r="A346" t="s">
        <v>345</v>
      </c>
    </row>
    <row r="347" spans="1:1" x14ac:dyDescent="0.25">
      <c r="A347" t="s">
        <v>346</v>
      </c>
    </row>
    <row r="348" spans="1:1" x14ac:dyDescent="0.25">
      <c r="A348" t="s">
        <v>347</v>
      </c>
    </row>
    <row r="349" spans="1:1" x14ac:dyDescent="0.25">
      <c r="A349" t="s">
        <v>348</v>
      </c>
    </row>
    <row r="350" spans="1:1" x14ac:dyDescent="0.25">
      <c r="A350" t="s">
        <v>349</v>
      </c>
    </row>
    <row r="351" spans="1:1" x14ac:dyDescent="0.25">
      <c r="A351" t="s">
        <v>350</v>
      </c>
    </row>
    <row r="352" spans="1:1" x14ac:dyDescent="0.25">
      <c r="A352" t="s">
        <v>351</v>
      </c>
    </row>
    <row r="353" spans="1:1" x14ac:dyDescent="0.25">
      <c r="A353" t="s">
        <v>352</v>
      </c>
    </row>
    <row r="354" spans="1:1" x14ac:dyDescent="0.25">
      <c r="A354" t="s">
        <v>353</v>
      </c>
    </row>
    <row r="355" spans="1:1" x14ac:dyDescent="0.25">
      <c r="A355" t="s">
        <v>354</v>
      </c>
    </row>
    <row r="356" spans="1:1" x14ac:dyDescent="0.25">
      <c r="A356" t="s">
        <v>355</v>
      </c>
    </row>
    <row r="357" spans="1:1" x14ac:dyDescent="0.25">
      <c r="A357" t="s">
        <v>356</v>
      </c>
    </row>
    <row r="358" spans="1:1" x14ac:dyDescent="0.25">
      <c r="A358" t="s">
        <v>357</v>
      </c>
    </row>
    <row r="359" spans="1:1" x14ac:dyDescent="0.25">
      <c r="A359" t="s">
        <v>358</v>
      </c>
    </row>
    <row r="360" spans="1:1" x14ac:dyDescent="0.25">
      <c r="A360" t="s">
        <v>359</v>
      </c>
    </row>
    <row r="361" spans="1:1" x14ac:dyDescent="0.25">
      <c r="A361" t="s">
        <v>360</v>
      </c>
    </row>
    <row r="362" spans="1:1" x14ac:dyDescent="0.25">
      <c r="A362" t="s">
        <v>361</v>
      </c>
    </row>
    <row r="363" spans="1:1" x14ac:dyDescent="0.25">
      <c r="A363" t="s">
        <v>362</v>
      </c>
    </row>
    <row r="364" spans="1:1" x14ac:dyDescent="0.25">
      <c r="A364" t="s">
        <v>363</v>
      </c>
    </row>
    <row r="365" spans="1:1" x14ac:dyDescent="0.25">
      <c r="A365" t="s">
        <v>364</v>
      </c>
    </row>
    <row r="366" spans="1:1" x14ac:dyDescent="0.25">
      <c r="A366" t="s">
        <v>365</v>
      </c>
    </row>
    <row r="367" spans="1:1" x14ac:dyDescent="0.25">
      <c r="A367" t="s">
        <v>366</v>
      </c>
    </row>
    <row r="368" spans="1:1" x14ac:dyDescent="0.25">
      <c r="A368" t="s">
        <v>367</v>
      </c>
    </row>
    <row r="369" spans="1:1" x14ac:dyDescent="0.25">
      <c r="A369" t="s">
        <v>368</v>
      </c>
    </row>
    <row r="370" spans="1:1" x14ac:dyDescent="0.25">
      <c r="A370" t="s">
        <v>369</v>
      </c>
    </row>
    <row r="371" spans="1:1" x14ac:dyDescent="0.25">
      <c r="A371" t="s">
        <v>370</v>
      </c>
    </row>
    <row r="372" spans="1:1" x14ac:dyDescent="0.25">
      <c r="A372" t="s">
        <v>371</v>
      </c>
    </row>
    <row r="373" spans="1:1" x14ac:dyDescent="0.25">
      <c r="A373" t="s">
        <v>372</v>
      </c>
    </row>
    <row r="374" spans="1:1" x14ac:dyDescent="0.25">
      <c r="A374" t="s">
        <v>373</v>
      </c>
    </row>
    <row r="375" spans="1:1" x14ac:dyDescent="0.25">
      <c r="A375" t="s">
        <v>374</v>
      </c>
    </row>
    <row r="376" spans="1:1" x14ac:dyDescent="0.25">
      <c r="A376" t="s">
        <v>375</v>
      </c>
    </row>
    <row r="377" spans="1:1" x14ac:dyDescent="0.25">
      <c r="A377" t="s">
        <v>376</v>
      </c>
    </row>
    <row r="378" spans="1:1" x14ac:dyDescent="0.25">
      <c r="A378" t="s">
        <v>377</v>
      </c>
    </row>
    <row r="379" spans="1:1" x14ac:dyDescent="0.25">
      <c r="A379" t="s">
        <v>378</v>
      </c>
    </row>
    <row r="380" spans="1:1" x14ac:dyDescent="0.25">
      <c r="A380" t="s">
        <v>379</v>
      </c>
    </row>
    <row r="381" spans="1:1" x14ac:dyDescent="0.25">
      <c r="A381" t="s">
        <v>380</v>
      </c>
    </row>
    <row r="382" spans="1:1" x14ac:dyDescent="0.25">
      <c r="A382" t="s">
        <v>381</v>
      </c>
    </row>
    <row r="383" spans="1:1" x14ac:dyDescent="0.25">
      <c r="A383" t="s">
        <v>382</v>
      </c>
    </row>
    <row r="384" spans="1:1" x14ac:dyDescent="0.25">
      <c r="A384" t="s">
        <v>383</v>
      </c>
    </row>
    <row r="385" spans="1:1" x14ac:dyDescent="0.25">
      <c r="A385" t="s">
        <v>384</v>
      </c>
    </row>
    <row r="386" spans="1:1" x14ac:dyDescent="0.25">
      <c r="A386" t="s">
        <v>385</v>
      </c>
    </row>
    <row r="387" spans="1:1" x14ac:dyDescent="0.25">
      <c r="A387" t="s">
        <v>386</v>
      </c>
    </row>
    <row r="388" spans="1:1" x14ac:dyDescent="0.25">
      <c r="A388" t="s">
        <v>387</v>
      </c>
    </row>
    <row r="389" spans="1:1" x14ac:dyDescent="0.25">
      <c r="A389" t="s">
        <v>388</v>
      </c>
    </row>
    <row r="390" spans="1:1" x14ac:dyDescent="0.25">
      <c r="A390" t="s">
        <v>389</v>
      </c>
    </row>
    <row r="391" spans="1:1" x14ac:dyDescent="0.25">
      <c r="A391" t="s">
        <v>390</v>
      </c>
    </row>
    <row r="392" spans="1:1" x14ac:dyDescent="0.25">
      <c r="A392" t="s">
        <v>391</v>
      </c>
    </row>
    <row r="393" spans="1:1" x14ac:dyDescent="0.25">
      <c r="A393" t="s">
        <v>392</v>
      </c>
    </row>
    <row r="394" spans="1:1" x14ac:dyDescent="0.25">
      <c r="A394" t="s">
        <v>393</v>
      </c>
    </row>
    <row r="395" spans="1:1" x14ac:dyDescent="0.25">
      <c r="A395" t="s">
        <v>394</v>
      </c>
    </row>
    <row r="396" spans="1:1" x14ac:dyDescent="0.25">
      <c r="A396" t="s">
        <v>395</v>
      </c>
    </row>
    <row r="397" spans="1:1" x14ac:dyDescent="0.25">
      <c r="A397" t="s">
        <v>396</v>
      </c>
    </row>
    <row r="398" spans="1:1" x14ac:dyDescent="0.25">
      <c r="A398" t="s">
        <v>397</v>
      </c>
    </row>
    <row r="399" spans="1:1" x14ac:dyDescent="0.25">
      <c r="A399" t="s">
        <v>398</v>
      </c>
    </row>
    <row r="400" spans="1:1" x14ac:dyDescent="0.25">
      <c r="A400" t="s">
        <v>399</v>
      </c>
    </row>
    <row r="401" spans="1:1" x14ac:dyDescent="0.25">
      <c r="A401" t="s">
        <v>400</v>
      </c>
    </row>
    <row r="402" spans="1:1" x14ac:dyDescent="0.25">
      <c r="A402" t="s">
        <v>401</v>
      </c>
    </row>
    <row r="403" spans="1:1" x14ac:dyDescent="0.25">
      <c r="A403" t="s">
        <v>402</v>
      </c>
    </row>
    <row r="404" spans="1:1" x14ac:dyDescent="0.25">
      <c r="A404" t="s">
        <v>403</v>
      </c>
    </row>
    <row r="405" spans="1:1" x14ac:dyDescent="0.25">
      <c r="A405" t="s">
        <v>404</v>
      </c>
    </row>
    <row r="406" spans="1:1" x14ac:dyDescent="0.25">
      <c r="A406" t="s">
        <v>405</v>
      </c>
    </row>
    <row r="407" spans="1:1" x14ac:dyDescent="0.25">
      <c r="A407" t="s">
        <v>406</v>
      </c>
    </row>
    <row r="408" spans="1:1" x14ac:dyDescent="0.25">
      <c r="A408" t="s">
        <v>407</v>
      </c>
    </row>
    <row r="409" spans="1:1" x14ac:dyDescent="0.25">
      <c r="A409" t="s">
        <v>408</v>
      </c>
    </row>
    <row r="410" spans="1:1" x14ac:dyDescent="0.25">
      <c r="A410" t="s">
        <v>409</v>
      </c>
    </row>
    <row r="411" spans="1:1" x14ac:dyDescent="0.25">
      <c r="A411" t="s">
        <v>410</v>
      </c>
    </row>
    <row r="412" spans="1:1" x14ac:dyDescent="0.25">
      <c r="A412" t="s">
        <v>411</v>
      </c>
    </row>
    <row r="413" spans="1:1" x14ac:dyDescent="0.25">
      <c r="A413" t="s">
        <v>412</v>
      </c>
    </row>
    <row r="414" spans="1:1" x14ac:dyDescent="0.25">
      <c r="A414" t="s">
        <v>413</v>
      </c>
    </row>
    <row r="415" spans="1:1" x14ac:dyDescent="0.25">
      <c r="A415" t="s">
        <v>414</v>
      </c>
    </row>
    <row r="416" spans="1:1" x14ac:dyDescent="0.25">
      <c r="A416" t="s">
        <v>415</v>
      </c>
    </row>
    <row r="417" spans="1:1" x14ac:dyDescent="0.25">
      <c r="A417" t="s">
        <v>416</v>
      </c>
    </row>
    <row r="418" spans="1:1" x14ac:dyDescent="0.25">
      <c r="A418" t="s">
        <v>417</v>
      </c>
    </row>
    <row r="419" spans="1:1" x14ac:dyDescent="0.25">
      <c r="A419" t="s">
        <v>418</v>
      </c>
    </row>
    <row r="420" spans="1:1" x14ac:dyDescent="0.25">
      <c r="A420" t="s">
        <v>419</v>
      </c>
    </row>
    <row r="421" spans="1:1" x14ac:dyDescent="0.25">
      <c r="A421" t="s">
        <v>420</v>
      </c>
    </row>
    <row r="422" spans="1:1" x14ac:dyDescent="0.25">
      <c r="A422" t="s">
        <v>421</v>
      </c>
    </row>
    <row r="423" spans="1:1" x14ac:dyDescent="0.25">
      <c r="A423" t="s">
        <v>422</v>
      </c>
    </row>
    <row r="424" spans="1:1" x14ac:dyDescent="0.25">
      <c r="A424" t="s">
        <v>423</v>
      </c>
    </row>
    <row r="425" spans="1:1" x14ac:dyDescent="0.25">
      <c r="A425" t="s">
        <v>424</v>
      </c>
    </row>
    <row r="426" spans="1:1" x14ac:dyDescent="0.25">
      <c r="A426" t="s">
        <v>425</v>
      </c>
    </row>
    <row r="427" spans="1:1" x14ac:dyDescent="0.25">
      <c r="A427" t="s">
        <v>426</v>
      </c>
    </row>
    <row r="428" spans="1:1" x14ac:dyDescent="0.25">
      <c r="A428" t="s">
        <v>427</v>
      </c>
    </row>
    <row r="429" spans="1:1" x14ac:dyDescent="0.25">
      <c r="A429" t="s">
        <v>428</v>
      </c>
    </row>
    <row r="430" spans="1:1" x14ac:dyDescent="0.25">
      <c r="A430" t="s">
        <v>429</v>
      </c>
    </row>
    <row r="431" spans="1:1" x14ac:dyDescent="0.25">
      <c r="A431" t="s">
        <v>430</v>
      </c>
    </row>
    <row r="432" spans="1:1" x14ac:dyDescent="0.25">
      <c r="A432" t="s">
        <v>431</v>
      </c>
    </row>
    <row r="433" spans="1:1" x14ac:dyDescent="0.25">
      <c r="A433" t="s">
        <v>432</v>
      </c>
    </row>
    <row r="434" spans="1:1" x14ac:dyDescent="0.25">
      <c r="A434" t="s">
        <v>433</v>
      </c>
    </row>
    <row r="435" spans="1:1" x14ac:dyDescent="0.25">
      <c r="A435" t="s">
        <v>434</v>
      </c>
    </row>
    <row r="436" spans="1:1" x14ac:dyDescent="0.25">
      <c r="A436" t="s">
        <v>435</v>
      </c>
    </row>
    <row r="437" spans="1:1" x14ac:dyDescent="0.25">
      <c r="A437" t="s">
        <v>436</v>
      </c>
    </row>
    <row r="438" spans="1:1" x14ac:dyDescent="0.25">
      <c r="A438" t="s">
        <v>437</v>
      </c>
    </row>
    <row r="439" spans="1:1" x14ac:dyDescent="0.25">
      <c r="A439" t="s">
        <v>438</v>
      </c>
    </row>
    <row r="440" spans="1:1" x14ac:dyDescent="0.25">
      <c r="A440" t="s">
        <v>439</v>
      </c>
    </row>
    <row r="441" spans="1:1" x14ac:dyDescent="0.25">
      <c r="A441" t="s">
        <v>440</v>
      </c>
    </row>
    <row r="442" spans="1:1" x14ac:dyDescent="0.25">
      <c r="A442" t="s">
        <v>441</v>
      </c>
    </row>
    <row r="443" spans="1:1" x14ac:dyDescent="0.25">
      <c r="A443" t="s">
        <v>442</v>
      </c>
    </row>
    <row r="444" spans="1:1" x14ac:dyDescent="0.25">
      <c r="A444" t="s">
        <v>443</v>
      </c>
    </row>
    <row r="445" spans="1:1" x14ac:dyDescent="0.25">
      <c r="A445" t="s">
        <v>444</v>
      </c>
    </row>
    <row r="446" spans="1:1" x14ac:dyDescent="0.25">
      <c r="A446" t="s">
        <v>445</v>
      </c>
    </row>
    <row r="447" spans="1:1" x14ac:dyDescent="0.25">
      <c r="A447" t="s">
        <v>446</v>
      </c>
    </row>
    <row r="448" spans="1:1" x14ac:dyDescent="0.25">
      <c r="A448" t="s">
        <v>447</v>
      </c>
    </row>
    <row r="449" spans="1:1" x14ac:dyDescent="0.25">
      <c r="A449" t="s">
        <v>448</v>
      </c>
    </row>
    <row r="450" spans="1:1" x14ac:dyDescent="0.25">
      <c r="A450" t="s">
        <v>449</v>
      </c>
    </row>
    <row r="451" spans="1:1" x14ac:dyDescent="0.25">
      <c r="A451" t="s">
        <v>450</v>
      </c>
    </row>
    <row r="452" spans="1:1" x14ac:dyDescent="0.25">
      <c r="A452" t="s">
        <v>451</v>
      </c>
    </row>
    <row r="453" spans="1:1" x14ac:dyDescent="0.25">
      <c r="A453" t="s">
        <v>452</v>
      </c>
    </row>
    <row r="454" spans="1:1" x14ac:dyDescent="0.25">
      <c r="A454" t="s">
        <v>453</v>
      </c>
    </row>
    <row r="455" spans="1:1" x14ac:dyDescent="0.25">
      <c r="A455" t="s">
        <v>454</v>
      </c>
    </row>
    <row r="456" spans="1:1" x14ac:dyDescent="0.25">
      <c r="A456" t="s">
        <v>455</v>
      </c>
    </row>
    <row r="457" spans="1:1" x14ac:dyDescent="0.25">
      <c r="A457" t="s">
        <v>456</v>
      </c>
    </row>
    <row r="458" spans="1:1" x14ac:dyDescent="0.25">
      <c r="A458" t="s">
        <v>457</v>
      </c>
    </row>
    <row r="459" spans="1:1" x14ac:dyDescent="0.25">
      <c r="A459" t="s">
        <v>458</v>
      </c>
    </row>
    <row r="460" spans="1:1" x14ac:dyDescent="0.25">
      <c r="A460" t="s">
        <v>459</v>
      </c>
    </row>
    <row r="461" spans="1:1" x14ac:dyDescent="0.25">
      <c r="A461" t="s">
        <v>460</v>
      </c>
    </row>
    <row r="462" spans="1:1" x14ac:dyDescent="0.25">
      <c r="A462" t="s">
        <v>461</v>
      </c>
    </row>
    <row r="463" spans="1:1" x14ac:dyDescent="0.25">
      <c r="A463" t="s">
        <v>462</v>
      </c>
    </row>
    <row r="464" spans="1:1" x14ac:dyDescent="0.25">
      <c r="A464" t="s">
        <v>463</v>
      </c>
    </row>
    <row r="465" spans="1:1" x14ac:dyDescent="0.25">
      <c r="A465" t="s">
        <v>464</v>
      </c>
    </row>
    <row r="466" spans="1:1" x14ac:dyDescent="0.25">
      <c r="A466" t="s">
        <v>465</v>
      </c>
    </row>
    <row r="467" spans="1:1" x14ac:dyDescent="0.25">
      <c r="A467" t="s">
        <v>466</v>
      </c>
    </row>
    <row r="468" spans="1:1" x14ac:dyDescent="0.25">
      <c r="A468" t="s">
        <v>467</v>
      </c>
    </row>
    <row r="469" spans="1:1" x14ac:dyDescent="0.25">
      <c r="A469" t="s">
        <v>468</v>
      </c>
    </row>
    <row r="470" spans="1:1" x14ac:dyDescent="0.25">
      <c r="A470" t="s">
        <v>469</v>
      </c>
    </row>
    <row r="471" spans="1:1" x14ac:dyDescent="0.25">
      <c r="A471" t="s">
        <v>470</v>
      </c>
    </row>
    <row r="472" spans="1:1" x14ac:dyDescent="0.25">
      <c r="A472" t="s">
        <v>471</v>
      </c>
    </row>
    <row r="473" spans="1:1" x14ac:dyDescent="0.25">
      <c r="A473" t="s">
        <v>472</v>
      </c>
    </row>
    <row r="474" spans="1:1" x14ac:dyDescent="0.25">
      <c r="A474" t="s">
        <v>473</v>
      </c>
    </row>
    <row r="475" spans="1:1" x14ac:dyDescent="0.25">
      <c r="A475" t="s">
        <v>474</v>
      </c>
    </row>
    <row r="476" spans="1:1" x14ac:dyDescent="0.25">
      <c r="A476" t="s">
        <v>475</v>
      </c>
    </row>
    <row r="477" spans="1:1" x14ac:dyDescent="0.25">
      <c r="A477" t="s">
        <v>476</v>
      </c>
    </row>
    <row r="478" spans="1:1" x14ac:dyDescent="0.25">
      <c r="A478" t="s">
        <v>477</v>
      </c>
    </row>
    <row r="479" spans="1:1" x14ac:dyDescent="0.25">
      <c r="A479" t="s">
        <v>478</v>
      </c>
    </row>
    <row r="480" spans="1:1" x14ac:dyDescent="0.25">
      <c r="A480" t="s">
        <v>479</v>
      </c>
    </row>
    <row r="481" spans="1:1" x14ac:dyDescent="0.25">
      <c r="A481" t="s">
        <v>480</v>
      </c>
    </row>
    <row r="482" spans="1:1" x14ac:dyDescent="0.25">
      <c r="A482" t="s">
        <v>481</v>
      </c>
    </row>
    <row r="483" spans="1:1" x14ac:dyDescent="0.25">
      <c r="A483" t="s">
        <v>482</v>
      </c>
    </row>
    <row r="484" spans="1:1" x14ac:dyDescent="0.25">
      <c r="A484" t="s">
        <v>483</v>
      </c>
    </row>
    <row r="485" spans="1:1" x14ac:dyDescent="0.25">
      <c r="A485" t="s">
        <v>484</v>
      </c>
    </row>
    <row r="486" spans="1:1" x14ac:dyDescent="0.25">
      <c r="A486" t="s">
        <v>485</v>
      </c>
    </row>
    <row r="487" spans="1:1" x14ac:dyDescent="0.25">
      <c r="A487" t="s">
        <v>486</v>
      </c>
    </row>
    <row r="488" spans="1:1" x14ac:dyDescent="0.25">
      <c r="A488" t="s">
        <v>487</v>
      </c>
    </row>
    <row r="489" spans="1:1" x14ac:dyDescent="0.25">
      <c r="A489" t="s">
        <v>488</v>
      </c>
    </row>
    <row r="490" spans="1:1" x14ac:dyDescent="0.25">
      <c r="A490" t="s">
        <v>489</v>
      </c>
    </row>
    <row r="491" spans="1:1" x14ac:dyDescent="0.25">
      <c r="A491" t="s">
        <v>490</v>
      </c>
    </row>
    <row r="492" spans="1:1" x14ac:dyDescent="0.25">
      <c r="A492" t="s">
        <v>491</v>
      </c>
    </row>
    <row r="493" spans="1:1" x14ac:dyDescent="0.25">
      <c r="A493" t="s">
        <v>492</v>
      </c>
    </row>
    <row r="494" spans="1:1" x14ac:dyDescent="0.25">
      <c r="A494" t="s">
        <v>493</v>
      </c>
    </row>
    <row r="495" spans="1:1" x14ac:dyDescent="0.25">
      <c r="A495" t="s">
        <v>494</v>
      </c>
    </row>
    <row r="496" spans="1:1" x14ac:dyDescent="0.25">
      <c r="A496" t="s">
        <v>495</v>
      </c>
    </row>
    <row r="497" spans="1:1" x14ac:dyDescent="0.25">
      <c r="A497" t="s">
        <v>496</v>
      </c>
    </row>
    <row r="498" spans="1:1" x14ac:dyDescent="0.25">
      <c r="A498" t="s">
        <v>497</v>
      </c>
    </row>
    <row r="499" spans="1:1" x14ac:dyDescent="0.25">
      <c r="A499" t="s">
        <v>498</v>
      </c>
    </row>
    <row r="500" spans="1:1" x14ac:dyDescent="0.25">
      <c r="A500" t="s">
        <v>499</v>
      </c>
    </row>
    <row r="501" spans="1:1" x14ac:dyDescent="0.25">
      <c r="A501" t="s">
        <v>500</v>
      </c>
    </row>
    <row r="502" spans="1:1" x14ac:dyDescent="0.25">
      <c r="A502" t="s">
        <v>501</v>
      </c>
    </row>
    <row r="503" spans="1:1" x14ac:dyDescent="0.25">
      <c r="A503" t="s">
        <v>502</v>
      </c>
    </row>
    <row r="504" spans="1:1" x14ac:dyDescent="0.25">
      <c r="A504" t="s">
        <v>503</v>
      </c>
    </row>
    <row r="505" spans="1:1" x14ac:dyDescent="0.25">
      <c r="A505" t="s">
        <v>504</v>
      </c>
    </row>
    <row r="506" spans="1:1" x14ac:dyDescent="0.25">
      <c r="A506" t="s">
        <v>505</v>
      </c>
    </row>
    <row r="507" spans="1:1" x14ac:dyDescent="0.25">
      <c r="A507" t="s">
        <v>506</v>
      </c>
    </row>
    <row r="508" spans="1:1" x14ac:dyDescent="0.25">
      <c r="A508" t="s">
        <v>507</v>
      </c>
    </row>
    <row r="509" spans="1:1" x14ac:dyDescent="0.25">
      <c r="A509" t="s">
        <v>508</v>
      </c>
    </row>
    <row r="510" spans="1:1" x14ac:dyDescent="0.25">
      <c r="A510" t="s">
        <v>509</v>
      </c>
    </row>
    <row r="511" spans="1:1" x14ac:dyDescent="0.25">
      <c r="A511" t="s">
        <v>510</v>
      </c>
    </row>
    <row r="512" spans="1:1" x14ac:dyDescent="0.25">
      <c r="A512" t="s">
        <v>511</v>
      </c>
    </row>
    <row r="513" spans="1:1" x14ac:dyDescent="0.25">
      <c r="A513" t="s">
        <v>512</v>
      </c>
    </row>
    <row r="514" spans="1:1" x14ac:dyDescent="0.25">
      <c r="A514" t="s">
        <v>513</v>
      </c>
    </row>
    <row r="515" spans="1:1" x14ac:dyDescent="0.25">
      <c r="A515" t="s">
        <v>514</v>
      </c>
    </row>
    <row r="516" spans="1:1" x14ac:dyDescent="0.25">
      <c r="A516" t="s">
        <v>515</v>
      </c>
    </row>
    <row r="517" spans="1:1" x14ac:dyDescent="0.25">
      <c r="A517" t="s">
        <v>516</v>
      </c>
    </row>
    <row r="518" spans="1:1" x14ac:dyDescent="0.25">
      <c r="A518" t="s">
        <v>517</v>
      </c>
    </row>
    <row r="519" spans="1:1" x14ac:dyDescent="0.25">
      <c r="A519" t="s">
        <v>518</v>
      </c>
    </row>
    <row r="520" spans="1:1" x14ac:dyDescent="0.25">
      <c r="A520" t="s">
        <v>519</v>
      </c>
    </row>
    <row r="521" spans="1:1" x14ac:dyDescent="0.25">
      <c r="A521" t="s">
        <v>520</v>
      </c>
    </row>
    <row r="522" spans="1:1" x14ac:dyDescent="0.25">
      <c r="A522" t="s">
        <v>521</v>
      </c>
    </row>
    <row r="523" spans="1:1" x14ac:dyDescent="0.25">
      <c r="A523" t="s">
        <v>522</v>
      </c>
    </row>
    <row r="524" spans="1:1" x14ac:dyDescent="0.25">
      <c r="A524" t="s">
        <v>523</v>
      </c>
    </row>
    <row r="525" spans="1:1" x14ac:dyDescent="0.25">
      <c r="A525" t="s">
        <v>524</v>
      </c>
    </row>
    <row r="526" spans="1:1" x14ac:dyDescent="0.25">
      <c r="A526" t="s">
        <v>525</v>
      </c>
    </row>
    <row r="527" spans="1:1" x14ac:dyDescent="0.25">
      <c r="A527" t="s">
        <v>526</v>
      </c>
    </row>
    <row r="528" spans="1:1" x14ac:dyDescent="0.25">
      <c r="A528" t="s">
        <v>527</v>
      </c>
    </row>
    <row r="529" spans="1:1" x14ac:dyDescent="0.25">
      <c r="A529" t="s">
        <v>528</v>
      </c>
    </row>
    <row r="530" spans="1:1" x14ac:dyDescent="0.25">
      <c r="A530" t="s">
        <v>529</v>
      </c>
    </row>
    <row r="531" spans="1:1" x14ac:dyDescent="0.25">
      <c r="A531" t="s">
        <v>530</v>
      </c>
    </row>
    <row r="532" spans="1:1" x14ac:dyDescent="0.25">
      <c r="A532" t="s">
        <v>531</v>
      </c>
    </row>
    <row r="533" spans="1:1" x14ac:dyDescent="0.25">
      <c r="A533" t="s">
        <v>532</v>
      </c>
    </row>
    <row r="534" spans="1:1" x14ac:dyDescent="0.25">
      <c r="A534" t="s">
        <v>533</v>
      </c>
    </row>
    <row r="535" spans="1:1" x14ac:dyDescent="0.25">
      <c r="A535" t="s">
        <v>534</v>
      </c>
    </row>
    <row r="536" spans="1:1" x14ac:dyDescent="0.25">
      <c r="A536" t="s">
        <v>535</v>
      </c>
    </row>
    <row r="537" spans="1:1" x14ac:dyDescent="0.25">
      <c r="A537" t="s">
        <v>536</v>
      </c>
    </row>
    <row r="538" spans="1:1" x14ac:dyDescent="0.25">
      <c r="A538" t="s">
        <v>537</v>
      </c>
    </row>
    <row r="539" spans="1:1" x14ac:dyDescent="0.25">
      <c r="A539" t="s">
        <v>538</v>
      </c>
    </row>
    <row r="540" spans="1:1" x14ac:dyDescent="0.25">
      <c r="A540" t="s">
        <v>539</v>
      </c>
    </row>
    <row r="541" spans="1:1" x14ac:dyDescent="0.25">
      <c r="A541" t="s">
        <v>540</v>
      </c>
    </row>
    <row r="542" spans="1:1" x14ac:dyDescent="0.25">
      <c r="A542" t="s">
        <v>541</v>
      </c>
    </row>
    <row r="543" spans="1:1" x14ac:dyDescent="0.25">
      <c r="A543" t="s">
        <v>542</v>
      </c>
    </row>
    <row r="544" spans="1:1" x14ac:dyDescent="0.25">
      <c r="A544" t="s">
        <v>543</v>
      </c>
    </row>
    <row r="545" spans="1:1" x14ac:dyDescent="0.25">
      <c r="A545" t="s">
        <v>544</v>
      </c>
    </row>
    <row r="546" spans="1:1" x14ac:dyDescent="0.25">
      <c r="A546" t="s">
        <v>545</v>
      </c>
    </row>
    <row r="547" spans="1:1" x14ac:dyDescent="0.25">
      <c r="A547" t="s">
        <v>546</v>
      </c>
    </row>
    <row r="548" spans="1:1" x14ac:dyDescent="0.25">
      <c r="A548" t="s">
        <v>547</v>
      </c>
    </row>
    <row r="549" spans="1:1" x14ac:dyDescent="0.25">
      <c r="A549" t="s">
        <v>548</v>
      </c>
    </row>
    <row r="550" spans="1:1" x14ac:dyDescent="0.25">
      <c r="A550" t="s">
        <v>549</v>
      </c>
    </row>
    <row r="551" spans="1:1" x14ac:dyDescent="0.25">
      <c r="A551" t="s">
        <v>550</v>
      </c>
    </row>
    <row r="552" spans="1:1" x14ac:dyDescent="0.25">
      <c r="A552" t="s">
        <v>551</v>
      </c>
    </row>
    <row r="553" spans="1:1" x14ac:dyDescent="0.25">
      <c r="A553" t="s">
        <v>552</v>
      </c>
    </row>
    <row r="554" spans="1:1" x14ac:dyDescent="0.25">
      <c r="A554" t="s">
        <v>553</v>
      </c>
    </row>
    <row r="555" spans="1:1" x14ac:dyDescent="0.25">
      <c r="A555" t="s">
        <v>554</v>
      </c>
    </row>
    <row r="556" spans="1:1" x14ac:dyDescent="0.25">
      <c r="A556" t="s">
        <v>555</v>
      </c>
    </row>
    <row r="557" spans="1:1" x14ac:dyDescent="0.25">
      <c r="A557" t="s">
        <v>556</v>
      </c>
    </row>
    <row r="558" spans="1:1" x14ac:dyDescent="0.25">
      <c r="A558" t="s">
        <v>557</v>
      </c>
    </row>
    <row r="559" spans="1:1" x14ac:dyDescent="0.25">
      <c r="A559" t="s">
        <v>558</v>
      </c>
    </row>
    <row r="560" spans="1:1" x14ac:dyDescent="0.25">
      <c r="A560" t="s">
        <v>559</v>
      </c>
    </row>
    <row r="561" spans="1:1" x14ac:dyDescent="0.25">
      <c r="A561" t="s">
        <v>560</v>
      </c>
    </row>
    <row r="562" spans="1:1" x14ac:dyDescent="0.25">
      <c r="A562" t="s">
        <v>561</v>
      </c>
    </row>
    <row r="563" spans="1:1" x14ac:dyDescent="0.25">
      <c r="A563" t="s">
        <v>562</v>
      </c>
    </row>
    <row r="564" spans="1:1" x14ac:dyDescent="0.25">
      <c r="A564" t="s">
        <v>563</v>
      </c>
    </row>
    <row r="565" spans="1:1" x14ac:dyDescent="0.25">
      <c r="A565" t="s">
        <v>564</v>
      </c>
    </row>
    <row r="566" spans="1:1" x14ac:dyDescent="0.25">
      <c r="A566" t="s">
        <v>565</v>
      </c>
    </row>
    <row r="567" spans="1:1" x14ac:dyDescent="0.25">
      <c r="A567" t="s">
        <v>566</v>
      </c>
    </row>
    <row r="568" spans="1:1" x14ac:dyDescent="0.25">
      <c r="A568" t="s">
        <v>567</v>
      </c>
    </row>
    <row r="569" spans="1:1" x14ac:dyDescent="0.25">
      <c r="A569" t="s">
        <v>568</v>
      </c>
    </row>
    <row r="570" spans="1:1" x14ac:dyDescent="0.25">
      <c r="A570" t="s">
        <v>569</v>
      </c>
    </row>
    <row r="571" spans="1:1" x14ac:dyDescent="0.25">
      <c r="A571" t="s">
        <v>570</v>
      </c>
    </row>
    <row r="572" spans="1:1" x14ac:dyDescent="0.25">
      <c r="A572" t="s">
        <v>571</v>
      </c>
    </row>
    <row r="573" spans="1:1" x14ac:dyDescent="0.25">
      <c r="A573" t="s">
        <v>572</v>
      </c>
    </row>
    <row r="574" spans="1:1" x14ac:dyDescent="0.25">
      <c r="A574" t="s">
        <v>573</v>
      </c>
    </row>
    <row r="575" spans="1:1" x14ac:dyDescent="0.25">
      <c r="A575" t="s">
        <v>574</v>
      </c>
    </row>
    <row r="576" spans="1:1" x14ac:dyDescent="0.25">
      <c r="A576" t="s">
        <v>575</v>
      </c>
    </row>
    <row r="577" spans="1:1" x14ac:dyDescent="0.25">
      <c r="A577" t="s">
        <v>576</v>
      </c>
    </row>
    <row r="578" spans="1:1" x14ac:dyDescent="0.25">
      <c r="A578" t="s">
        <v>577</v>
      </c>
    </row>
    <row r="579" spans="1:1" x14ac:dyDescent="0.25">
      <c r="A579" t="s">
        <v>578</v>
      </c>
    </row>
    <row r="580" spans="1:1" x14ac:dyDescent="0.25">
      <c r="A580" t="s">
        <v>579</v>
      </c>
    </row>
    <row r="581" spans="1:1" x14ac:dyDescent="0.25">
      <c r="A581" t="s">
        <v>580</v>
      </c>
    </row>
    <row r="582" spans="1:1" x14ac:dyDescent="0.25">
      <c r="A582" t="s">
        <v>581</v>
      </c>
    </row>
    <row r="583" spans="1:1" x14ac:dyDescent="0.25">
      <c r="A583" t="s">
        <v>582</v>
      </c>
    </row>
    <row r="584" spans="1:1" x14ac:dyDescent="0.25">
      <c r="A584" t="s">
        <v>583</v>
      </c>
    </row>
    <row r="585" spans="1:1" x14ac:dyDescent="0.25">
      <c r="A585" t="s">
        <v>584</v>
      </c>
    </row>
    <row r="586" spans="1:1" x14ac:dyDescent="0.25">
      <c r="A586" t="s">
        <v>585</v>
      </c>
    </row>
    <row r="587" spans="1:1" x14ac:dyDescent="0.25">
      <c r="A587" t="s">
        <v>586</v>
      </c>
    </row>
    <row r="588" spans="1:1" x14ac:dyDescent="0.25">
      <c r="A588" t="s">
        <v>587</v>
      </c>
    </row>
    <row r="589" spans="1:1" x14ac:dyDescent="0.25">
      <c r="A589" t="s">
        <v>588</v>
      </c>
    </row>
    <row r="590" spans="1:1" x14ac:dyDescent="0.25">
      <c r="A590" t="s">
        <v>589</v>
      </c>
    </row>
    <row r="591" spans="1:1" x14ac:dyDescent="0.25">
      <c r="A591" t="s">
        <v>590</v>
      </c>
    </row>
    <row r="592" spans="1:1" x14ac:dyDescent="0.25">
      <c r="A592" t="s">
        <v>591</v>
      </c>
    </row>
    <row r="593" spans="1:1" x14ac:dyDescent="0.25">
      <c r="A593" t="s">
        <v>592</v>
      </c>
    </row>
    <row r="594" spans="1:1" x14ac:dyDescent="0.25">
      <c r="A594" t="s">
        <v>593</v>
      </c>
    </row>
    <row r="595" spans="1:1" x14ac:dyDescent="0.25">
      <c r="A595" t="s">
        <v>594</v>
      </c>
    </row>
    <row r="596" spans="1:1" x14ac:dyDescent="0.25">
      <c r="A596" t="s">
        <v>595</v>
      </c>
    </row>
    <row r="597" spans="1:1" x14ac:dyDescent="0.25">
      <c r="A597" t="s">
        <v>596</v>
      </c>
    </row>
    <row r="598" spans="1:1" x14ac:dyDescent="0.25">
      <c r="A598" t="s">
        <v>597</v>
      </c>
    </row>
    <row r="599" spans="1:1" x14ac:dyDescent="0.25">
      <c r="A599" t="s">
        <v>598</v>
      </c>
    </row>
    <row r="600" spans="1:1" x14ac:dyDescent="0.25">
      <c r="A600" t="s">
        <v>599</v>
      </c>
    </row>
    <row r="601" spans="1:1" x14ac:dyDescent="0.25">
      <c r="A601" t="s">
        <v>600</v>
      </c>
    </row>
    <row r="602" spans="1:1" x14ac:dyDescent="0.25">
      <c r="A602" t="s">
        <v>601</v>
      </c>
    </row>
    <row r="603" spans="1:1" x14ac:dyDescent="0.25">
      <c r="A603" t="s">
        <v>602</v>
      </c>
    </row>
    <row r="604" spans="1:1" x14ac:dyDescent="0.25">
      <c r="A604" t="s">
        <v>603</v>
      </c>
    </row>
    <row r="605" spans="1:1" x14ac:dyDescent="0.25">
      <c r="A605" t="s">
        <v>604</v>
      </c>
    </row>
    <row r="606" spans="1:1" x14ac:dyDescent="0.25">
      <c r="A606" t="s">
        <v>605</v>
      </c>
    </row>
    <row r="607" spans="1:1" x14ac:dyDescent="0.25">
      <c r="A607" t="s">
        <v>606</v>
      </c>
    </row>
    <row r="608" spans="1:1" x14ac:dyDescent="0.25">
      <c r="A608" t="s">
        <v>607</v>
      </c>
    </row>
    <row r="609" spans="1:1" x14ac:dyDescent="0.25">
      <c r="A609" t="s">
        <v>608</v>
      </c>
    </row>
    <row r="610" spans="1:1" x14ac:dyDescent="0.25">
      <c r="A610" t="s">
        <v>609</v>
      </c>
    </row>
    <row r="611" spans="1:1" x14ac:dyDescent="0.25">
      <c r="A611" t="s">
        <v>610</v>
      </c>
    </row>
    <row r="612" spans="1:1" x14ac:dyDescent="0.25">
      <c r="A612" t="s">
        <v>611</v>
      </c>
    </row>
    <row r="613" spans="1:1" x14ac:dyDescent="0.25">
      <c r="A613" t="s">
        <v>612</v>
      </c>
    </row>
    <row r="614" spans="1:1" x14ac:dyDescent="0.25">
      <c r="A614" t="s">
        <v>613</v>
      </c>
    </row>
    <row r="615" spans="1:1" x14ac:dyDescent="0.25">
      <c r="A615" t="s">
        <v>614</v>
      </c>
    </row>
    <row r="616" spans="1:1" x14ac:dyDescent="0.25">
      <c r="A616" t="s">
        <v>615</v>
      </c>
    </row>
    <row r="617" spans="1:1" x14ac:dyDescent="0.25">
      <c r="A617" t="s">
        <v>616</v>
      </c>
    </row>
    <row r="618" spans="1:1" x14ac:dyDescent="0.25">
      <c r="A618" t="s">
        <v>617</v>
      </c>
    </row>
    <row r="619" spans="1:1" x14ac:dyDescent="0.25">
      <c r="A619" t="s">
        <v>618</v>
      </c>
    </row>
    <row r="620" spans="1:1" x14ac:dyDescent="0.25">
      <c r="A620" t="s">
        <v>619</v>
      </c>
    </row>
    <row r="621" spans="1:1" x14ac:dyDescent="0.25">
      <c r="A621" t="s">
        <v>620</v>
      </c>
    </row>
    <row r="622" spans="1:1" x14ac:dyDescent="0.25">
      <c r="A622" t="s">
        <v>621</v>
      </c>
    </row>
    <row r="623" spans="1:1" x14ac:dyDescent="0.25">
      <c r="A623" t="s">
        <v>622</v>
      </c>
    </row>
    <row r="624" spans="1:1" x14ac:dyDescent="0.25">
      <c r="A624" t="s">
        <v>623</v>
      </c>
    </row>
    <row r="625" spans="1:1" x14ac:dyDescent="0.25">
      <c r="A625" t="s">
        <v>624</v>
      </c>
    </row>
    <row r="626" spans="1:1" x14ac:dyDescent="0.25">
      <c r="A626" t="s">
        <v>625</v>
      </c>
    </row>
    <row r="627" spans="1:1" x14ac:dyDescent="0.25">
      <c r="A627" t="s">
        <v>626</v>
      </c>
    </row>
    <row r="628" spans="1:1" x14ac:dyDescent="0.25">
      <c r="A628" t="s">
        <v>627</v>
      </c>
    </row>
    <row r="629" spans="1:1" x14ac:dyDescent="0.25">
      <c r="A629" t="s">
        <v>628</v>
      </c>
    </row>
    <row r="630" spans="1:1" x14ac:dyDescent="0.25">
      <c r="A630" t="s">
        <v>629</v>
      </c>
    </row>
    <row r="631" spans="1:1" x14ac:dyDescent="0.25">
      <c r="A631" t="s">
        <v>630</v>
      </c>
    </row>
    <row r="632" spans="1:1" x14ac:dyDescent="0.25">
      <c r="A632" t="s">
        <v>631</v>
      </c>
    </row>
    <row r="633" spans="1:1" x14ac:dyDescent="0.25">
      <c r="A633" t="s">
        <v>632</v>
      </c>
    </row>
    <row r="634" spans="1:1" x14ac:dyDescent="0.25">
      <c r="A634" t="s">
        <v>633</v>
      </c>
    </row>
    <row r="635" spans="1:1" x14ac:dyDescent="0.25">
      <c r="A635" t="s">
        <v>634</v>
      </c>
    </row>
    <row r="636" spans="1:1" x14ac:dyDescent="0.25">
      <c r="A636" t="s">
        <v>635</v>
      </c>
    </row>
    <row r="637" spans="1:1" x14ac:dyDescent="0.25">
      <c r="A637" t="s">
        <v>636</v>
      </c>
    </row>
    <row r="638" spans="1:1" x14ac:dyDescent="0.25">
      <c r="A638" t="s">
        <v>637</v>
      </c>
    </row>
    <row r="639" spans="1:1" x14ac:dyDescent="0.25">
      <c r="A639" t="s">
        <v>638</v>
      </c>
    </row>
    <row r="640" spans="1:1" x14ac:dyDescent="0.25">
      <c r="A640" t="s">
        <v>639</v>
      </c>
    </row>
    <row r="641" spans="1:1" x14ac:dyDescent="0.25">
      <c r="A641" t="s">
        <v>640</v>
      </c>
    </row>
    <row r="642" spans="1:1" x14ac:dyDescent="0.25">
      <c r="A642" t="s">
        <v>641</v>
      </c>
    </row>
    <row r="643" spans="1:1" x14ac:dyDescent="0.25">
      <c r="A643" t="s">
        <v>642</v>
      </c>
    </row>
    <row r="644" spans="1:1" x14ac:dyDescent="0.25">
      <c r="A644" t="s">
        <v>643</v>
      </c>
    </row>
    <row r="645" spans="1:1" x14ac:dyDescent="0.25">
      <c r="A645" t="s">
        <v>644</v>
      </c>
    </row>
    <row r="646" spans="1:1" x14ac:dyDescent="0.25">
      <c r="A646" t="s">
        <v>645</v>
      </c>
    </row>
    <row r="647" spans="1:1" x14ac:dyDescent="0.25">
      <c r="A647" t="s">
        <v>646</v>
      </c>
    </row>
    <row r="648" spans="1:1" x14ac:dyDescent="0.25">
      <c r="A648" t="s">
        <v>647</v>
      </c>
    </row>
    <row r="649" spans="1:1" x14ac:dyDescent="0.25">
      <c r="A649" t="s">
        <v>648</v>
      </c>
    </row>
    <row r="650" spans="1:1" x14ac:dyDescent="0.25">
      <c r="A650" t="s">
        <v>649</v>
      </c>
    </row>
    <row r="651" spans="1:1" x14ac:dyDescent="0.25">
      <c r="A651" t="s">
        <v>650</v>
      </c>
    </row>
    <row r="652" spans="1:1" x14ac:dyDescent="0.25">
      <c r="A652" t="s">
        <v>651</v>
      </c>
    </row>
    <row r="653" spans="1:1" x14ac:dyDescent="0.25">
      <c r="A653" t="s">
        <v>652</v>
      </c>
    </row>
    <row r="654" spans="1:1" x14ac:dyDescent="0.25">
      <c r="A654" t="s">
        <v>653</v>
      </c>
    </row>
    <row r="655" spans="1:1" x14ac:dyDescent="0.25">
      <c r="A655" t="s">
        <v>654</v>
      </c>
    </row>
    <row r="656" spans="1:1" x14ac:dyDescent="0.25">
      <c r="A656" t="s">
        <v>655</v>
      </c>
    </row>
    <row r="657" spans="1:1" x14ac:dyDescent="0.25">
      <c r="A657" t="s">
        <v>656</v>
      </c>
    </row>
    <row r="658" spans="1:1" x14ac:dyDescent="0.25">
      <c r="A658" t="s">
        <v>657</v>
      </c>
    </row>
    <row r="659" spans="1:1" x14ac:dyDescent="0.25">
      <c r="A659" t="s">
        <v>658</v>
      </c>
    </row>
    <row r="660" spans="1:1" x14ac:dyDescent="0.25">
      <c r="A660" t="s">
        <v>659</v>
      </c>
    </row>
    <row r="661" spans="1:1" x14ac:dyDescent="0.25">
      <c r="A661" t="s">
        <v>660</v>
      </c>
    </row>
    <row r="662" spans="1:1" x14ac:dyDescent="0.25">
      <c r="A662" t="s">
        <v>661</v>
      </c>
    </row>
    <row r="663" spans="1:1" x14ac:dyDescent="0.25">
      <c r="A663" t="s">
        <v>662</v>
      </c>
    </row>
    <row r="664" spans="1:1" x14ac:dyDescent="0.25">
      <c r="A664" t="s">
        <v>663</v>
      </c>
    </row>
    <row r="665" spans="1:1" x14ac:dyDescent="0.25">
      <c r="A665" t="s">
        <v>664</v>
      </c>
    </row>
    <row r="666" spans="1:1" x14ac:dyDescent="0.25">
      <c r="A666" t="s">
        <v>665</v>
      </c>
    </row>
    <row r="667" spans="1:1" x14ac:dyDescent="0.25">
      <c r="A667" t="s">
        <v>666</v>
      </c>
    </row>
    <row r="668" spans="1:1" x14ac:dyDescent="0.25">
      <c r="A668" t="s">
        <v>667</v>
      </c>
    </row>
    <row r="669" spans="1:1" x14ac:dyDescent="0.25">
      <c r="A669" t="s">
        <v>668</v>
      </c>
    </row>
    <row r="670" spans="1:1" x14ac:dyDescent="0.25">
      <c r="A670" t="s">
        <v>669</v>
      </c>
    </row>
    <row r="671" spans="1:1" x14ac:dyDescent="0.25">
      <c r="A671" t="s">
        <v>670</v>
      </c>
    </row>
    <row r="672" spans="1:1" x14ac:dyDescent="0.25">
      <c r="A672" t="s">
        <v>671</v>
      </c>
    </row>
    <row r="673" spans="1:1" x14ac:dyDescent="0.25">
      <c r="A673" t="s">
        <v>672</v>
      </c>
    </row>
    <row r="674" spans="1:1" x14ac:dyDescent="0.25">
      <c r="A674" t="s">
        <v>673</v>
      </c>
    </row>
    <row r="675" spans="1:1" x14ac:dyDescent="0.25">
      <c r="A675" t="s">
        <v>674</v>
      </c>
    </row>
    <row r="676" spans="1:1" x14ac:dyDescent="0.25">
      <c r="A676" t="s">
        <v>675</v>
      </c>
    </row>
    <row r="677" spans="1:1" x14ac:dyDescent="0.25">
      <c r="A677" t="s">
        <v>676</v>
      </c>
    </row>
    <row r="678" spans="1:1" x14ac:dyDescent="0.25">
      <c r="A678" t="s">
        <v>677</v>
      </c>
    </row>
    <row r="679" spans="1:1" x14ac:dyDescent="0.25">
      <c r="A679" t="s">
        <v>678</v>
      </c>
    </row>
    <row r="680" spans="1:1" x14ac:dyDescent="0.25">
      <c r="A680" t="s">
        <v>679</v>
      </c>
    </row>
    <row r="681" spans="1:1" x14ac:dyDescent="0.25">
      <c r="A681" t="s">
        <v>680</v>
      </c>
    </row>
    <row r="682" spans="1:1" x14ac:dyDescent="0.25">
      <c r="A682" t="s">
        <v>681</v>
      </c>
    </row>
    <row r="683" spans="1:1" x14ac:dyDescent="0.25">
      <c r="A683" t="s">
        <v>682</v>
      </c>
    </row>
    <row r="684" spans="1:1" x14ac:dyDescent="0.25">
      <c r="A684" t="s">
        <v>683</v>
      </c>
    </row>
    <row r="685" spans="1:1" x14ac:dyDescent="0.25">
      <c r="A685" t="s">
        <v>684</v>
      </c>
    </row>
    <row r="686" spans="1:1" x14ac:dyDescent="0.25">
      <c r="A686" t="s">
        <v>685</v>
      </c>
    </row>
    <row r="687" spans="1:1" x14ac:dyDescent="0.25">
      <c r="A687" t="s">
        <v>686</v>
      </c>
    </row>
    <row r="688" spans="1:1" x14ac:dyDescent="0.25">
      <c r="A688" t="s">
        <v>687</v>
      </c>
    </row>
    <row r="689" spans="1:1" x14ac:dyDescent="0.25">
      <c r="A689" t="s">
        <v>688</v>
      </c>
    </row>
    <row r="690" spans="1:1" x14ac:dyDescent="0.25">
      <c r="A690" t="s">
        <v>689</v>
      </c>
    </row>
    <row r="691" spans="1:1" x14ac:dyDescent="0.25">
      <c r="A691" t="s">
        <v>690</v>
      </c>
    </row>
    <row r="692" spans="1:1" x14ac:dyDescent="0.25">
      <c r="A692" t="s">
        <v>691</v>
      </c>
    </row>
    <row r="693" spans="1:1" x14ac:dyDescent="0.25">
      <c r="A693" t="s">
        <v>692</v>
      </c>
    </row>
    <row r="694" spans="1:1" x14ac:dyDescent="0.25">
      <c r="A694" t="s">
        <v>693</v>
      </c>
    </row>
    <row r="695" spans="1:1" x14ac:dyDescent="0.25">
      <c r="A695" t="s">
        <v>694</v>
      </c>
    </row>
    <row r="696" spans="1:1" x14ac:dyDescent="0.25">
      <c r="A696" t="s">
        <v>695</v>
      </c>
    </row>
    <row r="697" spans="1:1" x14ac:dyDescent="0.25">
      <c r="A697" t="s">
        <v>696</v>
      </c>
    </row>
    <row r="698" spans="1:1" x14ac:dyDescent="0.25">
      <c r="A698" t="s">
        <v>697</v>
      </c>
    </row>
    <row r="699" spans="1:1" x14ac:dyDescent="0.25">
      <c r="A699" t="s">
        <v>698</v>
      </c>
    </row>
    <row r="700" spans="1:1" x14ac:dyDescent="0.25">
      <c r="A700" t="s">
        <v>699</v>
      </c>
    </row>
    <row r="701" spans="1:1" x14ac:dyDescent="0.25">
      <c r="A701" t="s">
        <v>700</v>
      </c>
    </row>
    <row r="702" spans="1:1" x14ac:dyDescent="0.25">
      <c r="A702" t="s">
        <v>701</v>
      </c>
    </row>
    <row r="703" spans="1:1" x14ac:dyDescent="0.25">
      <c r="A703" t="s">
        <v>702</v>
      </c>
    </row>
    <row r="704" spans="1:1" x14ac:dyDescent="0.25">
      <c r="A704" t="s">
        <v>703</v>
      </c>
    </row>
    <row r="705" spans="1:1" x14ac:dyDescent="0.25">
      <c r="A705" t="s">
        <v>704</v>
      </c>
    </row>
    <row r="706" spans="1:1" x14ac:dyDescent="0.25">
      <c r="A706" t="s">
        <v>705</v>
      </c>
    </row>
    <row r="707" spans="1:1" x14ac:dyDescent="0.25">
      <c r="A707" t="s">
        <v>706</v>
      </c>
    </row>
    <row r="708" spans="1:1" x14ac:dyDescent="0.25">
      <c r="A708" t="s">
        <v>707</v>
      </c>
    </row>
    <row r="709" spans="1:1" x14ac:dyDescent="0.25">
      <c r="A709" t="s">
        <v>708</v>
      </c>
    </row>
    <row r="710" spans="1:1" x14ac:dyDescent="0.25">
      <c r="A710" t="s">
        <v>709</v>
      </c>
    </row>
    <row r="711" spans="1:1" x14ac:dyDescent="0.25">
      <c r="A711" t="s">
        <v>710</v>
      </c>
    </row>
    <row r="712" spans="1:1" x14ac:dyDescent="0.25">
      <c r="A712" t="s">
        <v>711</v>
      </c>
    </row>
    <row r="713" spans="1:1" x14ac:dyDescent="0.25">
      <c r="A713" t="s">
        <v>712</v>
      </c>
    </row>
    <row r="714" spans="1:1" x14ac:dyDescent="0.25">
      <c r="A714" t="s">
        <v>713</v>
      </c>
    </row>
    <row r="715" spans="1:1" x14ac:dyDescent="0.25">
      <c r="A715" t="s">
        <v>714</v>
      </c>
    </row>
    <row r="716" spans="1:1" x14ac:dyDescent="0.25">
      <c r="A716" t="s">
        <v>715</v>
      </c>
    </row>
    <row r="717" spans="1:1" x14ac:dyDescent="0.25">
      <c r="A717" t="s">
        <v>716</v>
      </c>
    </row>
    <row r="718" spans="1:1" x14ac:dyDescent="0.25">
      <c r="A718" t="s">
        <v>717</v>
      </c>
    </row>
    <row r="719" spans="1:1" x14ac:dyDescent="0.25">
      <c r="A719" t="s">
        <v>718</v>
      </c>
    </row>
    <row r="720" spans="1:1" x14ac:dyDescent="0.25">
      <c r="A720" t="s">
        <v>719</v>
      </c>
    </row>
    <row r="721" spans="1:1" x14ac:dyDescent="0.25">
      <c r="A721" t="s">
        <v>720</v>
      </c>
    </row>
    <row r="722" spans="1:1" x14ac:dyDescent="0.25">
      <c r="A722" t="s">
        <v>721</v>
      </c>
    </row>
    <row r="723" spans="1:1" x14ac:dyDescent="0.25">
      <c r="A723" t="s">
        <v>722</v>
      </c>
    </row>
    <row r="724" spans="1:1" x14ac:dyDescent="0.25">
      <c r="A724" t="s">
        <v>723</v>
      </c>
    </row>
    <row r="725" spans="1:1" x14ac:dyDescent="0.25">
      <c r="A725" t="s">
        <v>724</v>
      </c>
    </row>
    <row r="726" spans="1:1" x14ac:dyDescent="0.25">
      <c r="A726" t="s">
        <v>725</v>
      </c>
    </row>
    <row r="727" spans="1:1" x14ac:dyDescent="0.25">
      <c r="A727" t="s">
        <v>726</v>
      </c>
    </row>
    <row r="728" spans="1:1" x14ac:dyDescent="0.25">
      <c r="A728" t="s">
        <v>727</v>
      </c>
    </row>
    <row r="729" spans="1:1" x14ac:dyDescent="0.25">
      <c r="A729" t="s">
        <v>728</v>
      </c>
    </row>
    <row r="730" spans="1:1" x14ac:dyDescent="0.25">
      <c r="A730" t="s">
        <v>729</v>
      </c>
    </row>
    <row r="731" spans="1:1" x14ac:dyDescent="0.25">
      <c r="A731" t="s">
        <v>730</v>
      </c>
    </row>
    <row r="732" spans="1:1" x14ac:dyDescent="0.25">
      <c r="A732" t="s">
        <v>731</v>
      </c>
    </row>
    <row r="733" spans="1:1" x14ac:dyDescent="0.25">
      <c r="A733" t="s">
        <v>732</v>
      </c>
    </row>
    <row r="734" spans="1:1" x14ac:dyDescent="0.25">
      <c r="A734" t="s">
        <v>733</v>
      </c>
    </row>
    <row r="735" spans="1:1" x14ac:dyDescent="0.25">
      <c r="A735" t="s">
        <v>734</v>
      </c>
    </row>
    <row r="736" spans="1:1" x14ac:dyDescent="0.25">
      <c r="A736" t="s">
        <v>735</v>
      </c>
    </row>
    <row r="737" spans="1:1" x14ac:dyDescent="0.25">
      <c r="A737" t="s">
        <v>736</v>
      </c>
    </row>
    <row r="738" spans="1:1" x14ac:dyDescent="0.25">
      <c r="A738" t="s">
        <v>737</v>
      </c>
    </row>
    <row r="739" spans="1:1" x14ac:dyDescent="0.25">
      <c r="A739" t="s">
        <v>738</v>
      </c>
    </row>
    <row r="740" spans="1:1" x14ac:dyDescent="0.25">
      <c r="A740" t="s">
        <v>739</v>
      </c>
    </row>
    <row r="741" spans="1:1" x14ac:dyDescent="0.25">
      <c r="A741" t="s">
        <v>740</v>
      </c>
    </row>
    <row r="742" spans="1:1" x14ac:dyDescent="0.25">
      <c r="A742" t="s">
        <v>741</v>
      </c>
    </row>
    <row r="743" spans="1:1" x14ac:dyDescent="0.25">
      <c r="A743" t="s">
        <v>742</v>
      </c>
    </row>
    <row r="744" spans="1:1" x14ac:dyDescent="0.25">
      <c r="A744" t="s">
        <v>743</v>
      </c>
    </row>
    <row r="745" spans="1:1" x14ac:dyDescent="0.25">
      <c r="A745" t="s">
        <v>744</v>
      </c>
    </row>
    <row r="746" spans="1:1" x14ac:dyDescent="0.25">
      <c r="A746" t="s">
        <v>745</v>
      </c>
    </row>
    <row r="747" spans="1:1" x14ac:dyDescent="0.25">
      <c r="A747" t="s">
        <v>746</v>
      </c>
    </row>
    <row r="748" spans="1:1" x14ac:dyDescent="0.25">
      <c r="A748" t="s">
        <v>747</v>
      </c>
    </row>
    <row r="749" spans="1:1" x14ac:dyDescent="0.25">
      <c r="A749" t="s">
        <v>748</v>
      </c>
    </row>
    <row r="750" spans="1:1" x14ac:dyDescent="0.25">
      <c r="A750" t="s">
        <v>749</v>
      </c>
    </row>
    <row r="751" spans="1:1" x14ac:dyDescent="0.25">
      <c r="A751" t="s">
        <v>750</v>
      </c>
    </row>
    <row r="752" spans="1:1" x14ac:dyDescent="0.25">
      <c r="A752" t="s">
        <v>751</v>
      </c>
    </row>
    <row r="753" spans="1:1" x14ac:dyDescent="0.25">
      <c r="A753" t="s">
        <v>752</v>
      </c>
    </row>
    <row r="754" spans="1:1" x14ac:dyDescent="0.25">
      <c r="A754" t="s">
        <v>753</v>
      </c>
    </row>
    <row r="755" spans="1:1" x14ac:dyDescent="0.25">
      <c r="A755" t="s">
        <v>754</v>
      </c>
    </row>
    <row r="756" spans="1:1" x14ac:dyDescent="0.25">
      <c r="A756" t="s">
        <v>755</v>
      </c>
    </row>
    <row r="757" spans="1:1" x14ac:dyDescent="0.25">
      <c r="A757" t="s">
        <v>756</v>
      </c>
    </row>
    <row r="758" spans="1:1" x14ac:dyDescent="0.25">
      <c r="A758" t="s">
        <v>757</v>
      </c>
    </row>
    <row r="759" spans="1:1" x14ac:dyDescent="0.25">
      <c r="A759" t="s">
        <v>758</v>
      </c>
    </row>
    <row r="760" spans="1:1" x14ac:dyDescent="0.25">
      <c r="A760" t="s">
        <v>759</v>
      </c>
    </row>
    <row r="761" spans="1:1" x14ac:dyDescent="0.25">
      <c r="A761" t="s">
        <v>760</v>
      </c>
    </row>
    <row r="762" spans="1:1" x14ac:dyDescent="0.25">
      <c r="A762" t="s">
        <v>761</v>
      </c>
    </row>
    <row r="763" spans="1:1" x14ac:dyDescent="0.25">
      <c r="A763" t="s">
        <v>762</v>
      </c>
    </row>
    <row r="764" spans="1:1" x14ac:dyDescent="0.25">
      <c r="A764" t="s">
        <v>763</v>
      </c>
    </row>
    <row r="765" spans="1:1" x14ac:dyDescent="0.25">
      <c r="A765" t="s">
        <v>764</v>
      </c>
    </row>
    <row r="766" spans="1:1" x14ac:dyDescent="0.25">
      <c r="A766" t="s">
        <v>765</v>
      </c>
    </row>
    <row r="767" spans="1:1" x14ac:dyDescent="0.25">
      <c r="A767" t="s">
        <v>766</v>
      </c>
    </row>
    <row r="768" spans="1:1" x14ac:dyDescent="0.25">
      <c r="A768" t="s">
        <v>767</v>
      </c>
    </row>
    <row r="769" spans="1:1" x14ac:dyDescent="0.25">
      <c r="A769" t="s">
        <v>768</v>
      </c>
    </row>
    <row r="770" spans="1:1" x14ac:dyDescent="0.25">
      <c r="A770" t="s">
        <v>769</v>
      </c>
    </row>
    <row r="771" spans="1:1" x14ac:dyDescent="0.25">
      <c r="A771" t="s">
        <v>770</v>
      </c>
    </row>
    <row r="772" spans="1:1" x14ac:dyDescent="0.25">
      <c r="A772" t="s">
        <v>771</v>
      </c>
    </row>
    <row r="773" spans="1:1" x14ac:dyDescent="0.25">
      <c r="A773" t="s">
        <v>772</v>
      </c>
    </row>
    <row r="774" spans="1:1" x14ac:dyDescent="0.25">
      <c r="A774" t="s">
        <v>773</v>
      </c>
    </row>
    <row r="775" spans="1:1" x14ac:dyDescent="0.25">
      <c r="A775" t="s">
        <v>774</v>
      </c>
    </row>
    <row r="776" spans="1:1" x14ac:dyDescent="0.25">
      <c r="A776" t="s">
        <v>775</v>
      </c>
    </row>
    <row r="777" spans="1:1" x14ac:dyDescent="0.25">
      <c r="A777" t="s">
        <v>776</v>
      </c>
    </row>
    <row r="778" spans="1:1" x14ac:dyDescent="0.25">
      <c r="A778" t="s">
        <v>777</v>
      </c>
    </row>
    <row r="779" spans="1:1" x14ac:dyDescent="0.25">
      <c r="A779" t="s">
        <v>778</v>
      </c>
    </row>
    <row r="780" spans="1:1" x14ac:dyDescent="0.25">
      <c r="A780" t="s">
        <v>779</v>
      </c>
    </row>
    <row r="781" spans="1:1" x14ac:dyDescent="0.25">
      <c r="A781" t="s">
        <v>780</v>
      </c>
    </row>
    <row r="782" spans="1:1" x14ac:dyDescent="0.25">
      <c r="A782" t="s">
        <v>781</v>
      </c>
    </row>
    <row r="783" spans="1:1" x14ac:dyDescent="0.25">
      <c r="A783" t="s">
        <v>782</v>
      </c>
    </row>
    <row r="784" spans="1:1" x14ac:dyDescent="0.25">
      <c r="A784" t="s">
        <v>783</v>
      </c>
    </row>
    <row r="785" spans="1:1" x14ac:dyDescent="0.25">
      <c r="A785" t="s">
        <v>784</v>
      </c>
    </row>
    <row r="786" spans="1:1" x14ac:dyDescent="0.25">
      <c r="A786" t="s">
        <v>785</v>
      </c>
    </row>
    <row r="787" spans="1:1" x14ac:dyDescent="0.25">
      <c r="A787" t="s">
        <v>786</v>
      </c>
    </row>
    <row r="788" spans="1:1" x14ac:dyDescent="0.25">
      <c r="A788" t="s">
        <v>787</v>
      </c>
    </row>
    <row r="789" spans="1:1" x14ac:dyDescent="0.25">
      <c r="A789" t="s">
        <v>788</v>
      </c>
    </row>
    <row r="790" spans="1:1" x14ac:dyDescent="0.25">
      <c r="A790" t="s">
        <v>789</v>
      </c>
    </row>
    <row r="791" spans="1:1" x14ac:dyDescent="0.25">
      <c r="A791" t="s">
        <v>790</v>
      </c>
    </row>
    <row r="792" spans="1:1" x14ac:dyDescent="0.25">
      <c r="A792" t="s">
        <v>791</v>
      </c>
    </row>
    <row r="793" spans="1:1" x14ac:dyDescent="0.25">
      <c r="A793" t="s">
        <v>792</v>
      </c>
    </row>
    <row r="794" spans="1:1" x14ac:dyDescent="0.25">
      <c r="A794" t="s">
        <v>793</v>
      </c>
    </row>
    <row r="795" spans="1:1" x14ac:dyDescent="0.25">
      <c r="A795" t="s">
        <v>794</v>
      </c>
    </row>
    <row r="796" spans="1:1" x14ac:dyDescent="0.25">
      <c r="A796" t="s">
        <v>795</v>
      </c>
    </row>
    <row r="797" spans="1:1" x14ac:dyDescent="0.25">
      <c r="A797" t="s">
        <v>796</v>
      </c>
    </row>
    <row r="798" spans="1:1" x14ac:dyDescent="0.25">
      <c r="A798" t="s">
        <v>797</v>
      </c>
    </row>
    <row r="799" spans="1:1" x14ac:dyDescent="0.25">
      <c r="A799" t="s">
        <v>798</v>
      </c>
    </row>
    <row r="800" spans="1:1" x14ac:dyDescent="0.25">
      <c r="A800" t="s">
        <v>799</v>
      </c>
    </row>
    <row r="801" spans="1:1" x14ac:dyDescent="0.25">
      <c r="A801" t="s">
        <v>800</v>
      </c>
    </row>
    <row r="802" spans="1:1" x14ac:dyDescent="0.25">
      <c r="A802" t="s">
        <v>801</v>
      </c>
    </row>
    <row r="803" spans="1:1" x14ac:dyDescent="0.25">
      <c r="A803" t="s">
        <v>802</v>
      </c>
    </row>
    <row r="804" spans="1:1" x14ac:dyDescent="0.25">
      <c r="A804" t="s">
        <v>803</v>
      </c>
    </row>
    <row r="805" spans="1:1" x14ac:dyDescent="0.25">
      <c r="A805" t="s">
        <v>804</v>
      </c>
    </row>
    <row r="806" spans="1:1" x14ac:dyDescent="0.25">
      <c r="A806" t="s">
        <v>805</v>
      </c>
    </row>
    <row r="807" spans="1:1" x14ac:dyDescent="0.25">
      <c r="A807" t="s">
        <v>806</v>
      </c>
    </row>
    <row r="808" spans="1:1" x14ac:dyDescent="0.25">
      <c r="A808" t="s">
        <v>807</v>
      </c>
    </row>
    <row r="809" spans="1:1" x14ac:dyDescent="0.25">
      <c r="A809" t="s">
        <v>808</v>
      </c>
    </row>
    <row r="810" spans="1:1" x14ac:dyDescent="0.25">
      <c r="A810" t="s">
        <v>809</v>
      </c>
    </row>
    <row r="811" spans="1:1" x14ac:dyDescent="0.25">
      <c r="A811" t="s">
        <v>810</v>
      </c>
    </row>
    <row r="812" spans="1:1" x14ac:dyDescent="0.25">
      <c r="A812" t="s">
        <v>811</v>
      </c>
    </row>
    <row r="813" spans="1:1" x14ac:dyDescent="0.25">
      <c r="A813" t="s">
        <v>812</v>
      </c>
    </row>
    <row r="814" spans="1:1" x14ac:dyDescent="0.25">
      <c r="A814" t="s">
        <v>813</v>
      </c>
    </row>
    <row r="815" spans="1:1" x14ac:dyDescent="0.25">
      <c r="A815" t="s">
        <v>814</v>
      </c>
    </row>
    <row r="816" spans="1:1" x14ac:dyDescent="0.25">
      <c r="A816" t="s">
        <v>815</v>
      </c>
    </row>
    <row r="817" spans="1:1" x14ac:dyDescent="0.25">
      <c r="A817" t="s">
        <v>816</v>
      </c>
    </row>
    <row r="818" spans="1:1" x14ac:dyDescent="0.25">
      <c r="A818" t="s">
        <v>817</v>
      </c>
    </row>
    <row r="819" spans="1:1" x14ac:dyDescent="0.25">
      <c r="A819" t="s">
        <v>818</v>
      </c>
    </row>
    <row r="820" spans="1:1" x14ac:dyDescent="0.25">
      <c r="A820" t="s">
        <v>819</v>
      </c>
    </row>
    <row r="821" spans="1:1" x14ac:dyDescent="0.25">
      <c r="A821" t="s">
        <v>820</v>
      </c>
    </row>
    <row r="822" spans="1:1" x14ac:dyDescent="0.25">
      <c r="A822" t="s">
        <v>821</v>
      </c>
    </row>
    <row r="823" spans="1:1" x14ac:dyDescent="0.25">
      <c r="A823" t="s">
        <v>822</v>
      </c>
    </row>
    <row r="824" spans="1:1" x14ac:dyDescent="0.25">
      <c r="A824" t="s">
        <v>823</v>
      </c>
    </row>
    <row r="825" spans="1:1" x14ac:dyDescent="0.25">
      <c r="A825" t="s">
        <v>824</v>
      </c>
    </row>
    <row r="826" spans="1:1" x14ac:dyDescent="0.25">
      <c r="A826" t="s">
        <v>825</v>
      </c>
    </row>
    <row r="827" spans="1:1" x14ac:dyDescent="0.25">
      <c r="A827" t="s">
        <v>826</v>
      </c>
    </row>
    <row r="828" spans="1:1" x14ac:dyDescent="0.25">
      <c r="A828" t="s">
        <v>827</v>
      </c>
    </row>
    <row r="829" spans="1:1" x14ac:dyDescent="0.25">
      <c r="A829" t="s">
        <v>828</v>
      </c>
    </row>
    <row r="830" spans="1:1" x14ac:dyDescent="0.25">
      <c r="A830" t="s">
        <v>829</v>
      </c>
    </row>
    <row r="831" spans="1:1" x14ac:dyDescent="0.25">
      <c r="A831" t="s">
        <v>830</v>
      </c>
    </row>
    <row r="832" spans="1:1" x14ac:dyDescent="0.25">
      <c r="A832" t="s">
        <v>831</v>
      </c>
    </row>
    <row r="833" spans="1:1" x14ac:dyDescent="0.25">
      <c r="A833" t="s">
        <v>832</v>
      </c>
    </row>
    <row r="834" spans="1:1" x14ac:dyDescent="0.25">
      <c r="A834" t="s">
        <v>833</v>
      </c>
    </row>
    <row r="835" spans="1:1" x14ac:dyDescent="0.25">
      <c r="A835" t="s">
        <v>834</v>
      </c>
    </row>
    <row r="836" spans="1:1" x14ac:dyDescent="0.25">
      <c r="A836" t="s">
        <v>835</v>
      </c>
    </row>
    <row r="837" spans="1:1" x14ac:dyDescent="0.25">
      <c r="A837" t="s">
        <v>836</v>
      </c>
    </row>
    <row r="838" spans="1:1" x14ac:dyDescent="0.25">
      <c r="A838" t="s">
        <v>837</v>
      </c>
    </row>
    <row r="839" spans="1:1" x14ac:dyDescent="0.25">
      <c r="A839" t="s">
        <v>838</v>
      </c>
    </row>
    <row r="840" spans="1:1" x14ac:dyDescent="0.25">
      <c r="A840" t="s">
        <v>839</v>
      </c>
    </row>
    <row r="841" spans="1:1" x14ac:dyDescent="0.25">
      <c r="A841" t="s">
        <v>840</v>
      </c>
    </row>
    <row r="842" spans="1:1" x14ac:dyDescent="0.25">
      <c r="A842" t="s">
        <v>841</v>
      </c>
    </row>
    <row r="843" spans="1:1" x14ac:dyDescent="0.25">
      <c r="A843" t="s">
        <v>842</v>
      </c>
    </row>
    <row r="844" spans="1:1" x14ac:dyDescent="0.25">
      <c r="A844" t="s">
        <v>843</v>
      </c>
    </row>
    <row r="845" spans="1:1" x14ac:dyDescent="0.25">
      <c r="A845" t="s">
        <v>844</v>
      </c>
    </row>
    <row r="846" spans="1:1" x14ac:dyDescent="0.25">
      <c r="A846" t="s">
        <v>845</v>
      </c>
    </row>
    <row r="847" spans="1:1" x14ac:dyDescent="0.25">
      <c r="A847" t="s">
        <v>846</v>
      </c>
    </row>
    <row r="848" spans="1:1" x14ac:dyDescent="0.25">
      <c r="A848" t="s">
        <v>847</v>
      </c>
    </row>
    <row r="849" spans="1:1" x14ac:dyDescent="0.25">
      <c r="A849" t="s">
        <v>848</v>
      </c>
    </row>
    <row r="850" spans="1:1" x14ac:dyDescent="0.25">
      <c r="A850" t="s">
        <v>849</v>
      </c>
    </row>
    <row r="851" spans="1:1" x14ac:dyDescent="0.25">
      <c r="A851" t="s">
        <v>850</v>
      </c>
    </row>
    <row r="852" spans="1:1" x14ac:dyDescent="0.25">
      <c r="A852" t="s">
        <v>851</v>
      </c>
    </row>
    <row r="853" spans="1:1" x14ac:dyDescent="0.25">
      <c r="A853" t="s">
        <v>852</v>
      </c>
    </row>
    <row r="854" spans="1:1" x14ac:dyDescent="0.25">
      <c r="A854" t="s">
        <v>853</v>
      </c>
    </row>
    <row r="855" spans="1:1" x14ac:dyDescent="0.25">
      <c r="A855" t="s">
        <v>854</v>
      </c>
    </row>
    <row r="856" spans="1:1" x14ac:dyDescent="0.25">
      <c r="A856" t="s">
        <v>855</v>
      </c>
    </row>
    <row r="857" spans="1:1" x14ac:dyDescent="0.25">
      <c r="A857" t="s">
        <v>856</v>
      </c>
    </row>
    <row r="858" spans="1:1" x14ac:dyDescent="0.25">
      <c r="A858" t="s">
        <v>857</v>
      </c>
    </row>
    <row r="859" spans="1:1" x14ac:dyDescent="0.25">
      <c r="A859" t="s">
        <v>858</v>
      </c>
    </row>
    <row r="860" spans="1:1" x14ac:dyDescent="0.25">
      <c r="A860" t="s">
        <v>859</v>
      </c>
    </row>
    <row r="861" spans="1:1" x14ac:dyDescent="0.25">
      <c r="A861" t="s">
        <v>860</v>
      </c>
    </row>
    <row r="862" spans="1:1" x14ac:dyDescent="0.25">
      <c r="A862" t="s">
        <v>861</v>
      </c>
    </row>
    <row r="863" spans="1:1" x14ac:dyDescent="0.25">
      <c r="A863" t="s">
        <v>862</v>
      </c>
    </row>
    <row r="864" spans="1:1" x14ac:dyDescent="0.25">
      <c r="A864" t="s">
        <v>863</v>
      </c>
    </row>
    <row r="865" spans="1:1" x14ac:dyDescent="0.25">
      <c r="A865" t="s">
        <v>864</v>
      </c>
    </row>
    <row r="866" spans="1:1" x14ac:dyDescent="0.25">
      <c r="A866" t="s">
        <v>865</v>
      </c>
    </row>
    <row r="867" spans="1:1" x14ac:dyDescent="0.25">
      <c r="A867" t="s">
        <v>866</v>
      </c>
    </row>
    <row r="868" spans="1:1" x14ac:dyDescent="0.25">
      <c r="A868" t="s">
        <v>867</v>
      </c>
    </row>
    <row r="869" spans="1:1" x14ac:dyDescent="0.25">
      <c r="A869" t="s">
        <v>868</v>
      </c>
    </row>
    <row r="870" spans="1:1" x14ac:dyDescent="0.25">
      <c r="A870" t="s">
        <v>869</v>
      </c>
    </row>
    <row r="871" spans="1:1" x14ac:dyDescent="0.25">
      <c r="A871" t="s">
        <v>870</v>
      </c>
    </row>
    <row r="872" spans="1:1" x14ac:dyDescent="0.25">
      <c r="A872" t="s">
        <v>871</v>
      </c>
    </row>
    <row r="873" spans="1:1" x14ac:dyDescent="0.25">
      <c r="A873" t="s">
        <v>872</v>
      </c>
    </row>
    <row r="874" spans="1:1" x14ac:dyDescent="0.25">
      <c r="A874" t="s">
        <v>873</v>
      </c>
    </row>
    <row r="875" spans="1:1" x14ac:dyDescent="0.25">
      <c r="A875" t="s">
        <v>874</v>
      </c>
    </row>
    <row r="876" spans="1:1" x14ac:dyDescent="0.25">
      <c r="A876" t="s">
        <v>875</v>
      </c>
    </row>
    <row r="877" spans="1:1" x14ac:dyDescent="0.25">
      <c r="A877" t="s">
        <v>876</v>
      </c>
    </row>
    <row r="878" spans="1:1" x14ac:dyDescent="0.25">
      <c r="A878" t="s">
        <v>877</v>
      </c>
    </row>
    <row r="879" spans="1:1" x14ac:dyDescent="0.25">
      <c r="A879" t="s">
        <v>878</v>
      </c>
    </row>
    <row r="880" spans="1:1" x14ac:dyDescent="0.25">
      <c r="A880" t="s">
        <v>879</v>
      </c>
    </row>
    <row r="881" spans="1:1" x14ac:dyDescent="0.25">
      <c r="A881" t="s">
        <v>880</v>
      </c>
    </row>
    <row r="882" spans="1:1" x14ac:dyDescent="0.25">
      <c r="A882" t="s">
        <v>881</v>
      </c>
    </row>
    <row r="883" spans="1:1" x14ac:dyDescent="0.25">
      <c r="A883" t="s">
        <v>882</v>
      </c>
    </row>
    <row r="884" spans="1:1" x14ac:dyDescent="0.25">
      <c r="A884" t="s">
        <v>883</v>
      </c>
    </row>
    <row r="885" spans="1:1" x14ac:dyDescent="0.25">
      <c r="A885" t="s">
        <v>884</v>
      </c>
    </row>
    <row r="886" spans="1:1" x14ac:dyDescent="0.25">
      <c r="A886" t="s">
        <v>885</v>
      </c>
    </row>
    <row r="887" spans="1:1" x14ac:dyDescent="0.25">
      <c r="A887" t="s">
        <v>886</v>
      </c>
    </row>
    <row r="888" spans="1:1" x14ac:dyDescent="0.25">
      <c r="A888" t="s">
        <v>887</v>
      </c>
    </row>
    <row r="889" spans="1:1" x14ac:dyDescent="0.25">
      <c r="A889" t="s">
        <v>888</v>
      </c>
    </row>
    <row r="890" spans="1:1" x14ac:dyDescent="0.25">
      <c r="A890" t="s">
        <v>889</v>
      </c>
    </row>
    <row r="891" spans="1:1" x14ac:dyDescent="0.25">
      <c r="A891" t="s">
        <v>890</v>
      </c>
    </row>
    <row r="892" spans="1:1" x14ac:dyDescent="0.25">
      <c r="A892" t="s">
        <v>891</v>
      </c>
    </row>
    <row r="893" spans="1:1" x14ac:dyDescent="0.25">
      <c r="A893" t="s">
        <v>892</v>
      </c>
    </row>
    <row r="894" spans="1:1" x14ac:dyDescent="0.25">
      <c r="A894" t="s">
        <v>893</v>
      </c>
    </row>
    <row r="895" spans="1:1" x14ac:dyDescent="0.25">
      <c r="A895" t="s">
        <v>894</v>
      </c>
    </row>
    <row r="896" spans="1:1" x14ac:dyDescent="0.25">
      <c r="A896" t="s">
        <v>895</v>
      </c>
    </row>
    <row r="897" spans="1:1" x14ac:dyDescent="0.25">
      <c r="A897" t="s">
        <v>896</v>
      </c>
    </row>
    <row r="898" spans="1:1" x14ac:dyDescent="0.25">
      <c r="A898" t="s">
        <v>897</v>
      </c>
    </row>
    <row r="899" spans="1:1" x14ac:dyDescent="0.25">
      <c r="A899" t="s">
        <v>898</v>
      </c>
    </row>
    <row r="900" spans="1:1" x14ac:dyDescent="0.25">
      <c r="A900" t="s">
        <v>899</v>
      </c>
    </row>
    <row r="901" spans="1:1" x14ac:dyDescent="0.25">
      <c r="A901" t="s">
        <v>900</v>
      </c>
    </row>
    <row r="902" spans="1:1" x14ac:dyDescent="0.25">
      <c r="A902" t="s">
        <v>901</v>
      </c>
    </row>
    <row r="903" spans="1:1" x14ac:dyDescent="0.25">
      <c r="A903" t="s">
        <v>902</v>
      </c>
    </row>
    <row r="904" spans="1:1" x14ac:dyDescent="0.25">
      <c r="A904" t="s">
        <v>903</v>
      </c>
    </row>
    <row r="905" spans="1:1" x14ac:dyDescent="0.25">
      <c r="A905" t="s">
        <v>904</v>
      </c>
    </row>
    <row r="906" spans="1:1" x14ac:dyDescent="0.25">
      <c r="A906" t="s">
        <v>905</v>
      </c>
    </row>
    <row r="907" spans="1:1" x14ac:dyDescent="0.25">
      <c r="A907" t="s">
        <v>906</v>
      </c>
    </row>
    <row r="908" spans="1:1" x14ac:dyDescent="0.25">
      <c r="A908" t="s">
        <v>907</v>
      </c>
    </row>
    <row r="909" spans="1:1" x14ac:dyDescent="0.25">
      <c r="A909" t="s">
        <v>908</v>
      </c>
    </row>
    <row r="910" spans="1:1" x14ac:dyDescent="0.25">
      <c r="A910" t="s">
        <v>909</v>
      </c>
    </row>
    <row r="911" spans="1:1" x14ac:dyDescent="0.25">
      <c r="A911" t="s">
        <v>910</v>
      </c>
    </row>
    <row r="912" spans="1:1" x14ac:dyDescent="0.25">
      <c r="A912" t="s">
        <v>911</v>
      </c>
    </row>
    <row r="913" spans="1:1" x14ac:dyDescent="0.25">
      <c r="A913" t="s">
        <v>912</v>
      </c>
    </row>
    <row r="914" spans="1:1" x14ac:dyDescent="0.25">
      <c r="A914" t="s">
        <v>913</v>
      </c>
    </row>
    <row r="915" spans="1:1" x14ac:dyDescent="0.25">
      <c r="A915" t="s">
        <v>914</v>
      </c>
    </row>
    <row r="916" spans="1:1" x14ac:dyDescent="0.25">
      <c r="A916" t="s">
        <v>915</v>
      </c>
    </row>
    <row r="917" spans="1:1" x14ac:dyDescent="0.25">
      <c r="A917" t="s">
        <v>916</v>
      </c>
    </row>
    <row r="918" spans="1:1" x14ac:dyDescent="0.25">
      <c r="A918" t="s">
        <v>917</v>
      </c>
    </row>
    <row r="919" spans="1:1" x14ac:dyDescent="0.25">
      <c r="A919" t="s">
        <v>918</v>
      </c>
    </row>
    <row r="920" spans="1:1" x14ac:dyDescent="0.25">
      <c r="A920" t="s">
        <v>919</v>
      </c>
    </row>
    <row r="921" spans="1:1" x14ac:dyDescent="0.25">
      <c r="A921" t="s">
        <v>920</v>
      </c>
    </row>
    <row r="922" spans="1:1" x14ac:dyDescent="0.25">
      <c r="A922" t="s">
        <v>921</v>
      </c>
    </row>
    <row r="923" spans="1:1" x14ac:dyDescent="0.25">
      <c r="A923" t="s">
        <v>922</v>
      </c>
    </row>
    <row r="924" spans="1:1" x14ac:dyDescent="0.25">
      <c r="A924" t="s">
        <v>923</v>
      </c>
    </row>
    <row r="925" spans="1:1" x14ac:dyDescent="0.25">
      <c r="A925" t="s">
        <v>924</v>
      </c>
    </row>
    <row r="926" spans="1:1" x14ac:dyDescent="0.25">
      <c r="A926" t="s">
        <v>925</v>
      </c>
    </row>
    <row r="927" spans="1:1" x14ac:dyDescent="0.25">
      <c r="A927" t="s">
        <v>926</v>
      </c>
    </row>
    <row r="928" spans="1:1" x14ac:dyDescent="0.25">
      <c r="A928" t="s">
        <v>927</v>
      </c>
    </row>
    <row r="929" spans="1:1" x14ac:dyDescent="0.25">
      <c r="A929" t="s">
        <v>928</v>
      </c>
    </row>
    <row r="930" spans="1:1" x14ac:dyDescent="0.25">
      <c r="A930" t="s">
        <v>929</v>
      </c>
    </row>
    <row r="931" spans="1:1" x14ac:dyDescent="0.25">
      <c r="A931" t="s">
        <v>930</v>
      </c>
    </row>
    <row r="932" spans="1:1" x14ac:dyDescent="0.25">
      <c r="A932" t="s">
        <v>931</v>
      </c>
    </row>
    <row r="933" spans="1:1" x14ac:dyDescent="0.25">
      <c r="A933" t="s">
        <v>932</v>
      </c>
    </row>
    <row r="934" spans="1:1" x14ac:dyDescent="0.25">
      <c r="A934" t="s">
        <v>933</v>
      </c>
    </row>
    <row r="935" spans="1:1" x14ac:dyDescent="0.25">
      <c r="A935" t="s">
        <v>934</v>
      </c>
    </row>
    <row r="936" spans="1:1" x14ac:dyDescent="0.25">
      <c r="A936" t="s">
        <v>935</v>
      </c>
    </row>
    <row r="937" spans="1:1" x14ac:dyDescent="0.25">
      <c r="A937" t="s">
        <v>936</v>
      </c>
    </row>
    <row r="938" spans="1:1" x14ac:dyDescent="0.25">
      <c r="A938" t="s">
        <v>937</v>
      </c>
    </row>
    <row r="939" spans="1:1" x14ac:dyDescent="0.25">
      <c r="A939" t="s">
        <v>938</v>
      </c>
    </row>
    <row r="940" spans="1:1" x14ac:dyDescent="0.25">
      <c r="A940" t="s">
        <v>939</v>
      </c>
    </row>
    <row r="941" spans="1:1" x14ac:dyDescent="0.25">
      <c r="A941" t="s">
        <v>940</v>
      </c>
    </row>
    <row r="942" spans="1:1" x14ac:dyDescent="0.25">
      <c r="A942" t="s">
        <v>941</v>
      </c>
    </row>
    <row r="943" spans="1:1" x14ac:dyDescent="0.25">
      <c r="A943" t="s">
        <v>942</v>
      </c>
    </row>
    <row r="944" spans="1:1" x14ac:dyDescent="0.25">
      <c r="A944" t="s">
        <v>943</v>
      </c>
    </row>
    <row r="945" spans="1:1" x14ac:dyDescent="0.25">
      <c r="A945" t="s">
        <v>944</v>
      </c>
    </row>
    <row r="946" spans="1:1" x14ac:dyDescent="0.25">
      <c r="A946" t="s">
        <v>945</v>
      </c>
    </row>
    <row r="947" spans="1:1" x14ac:dyDescent="0.25">
      <c r="A947" t="s">
        <v>946</v>
      </c>
    </row>
    <row r="948" spans="1:1" x14ac:dyDescent="0.25">
      <c r="A948" t="s">
        <v>947</v>
      </c>
    </row>
    <row r="949" spans="1:1" x14ac:dyDescent="0.25">
      <c r="A949" t="s">
        <v>948</v>
      </c>
    </row>
    <row r="950" spans="1:1" x14ac:dyDescent="0.25">
      <c r="A950" t="s">
        <v>949</v>
      </c>
    </row>
    <row r="951" spans="1:1" x14ac:dyDescent="0.25">
      <c r="A951" t="s">
        <v>950</v>
      </c>
    </row>
    <row r="952" spans="1:1" x14ac:dyDescent="0.25">
      <c r="A952" t="s">
        <v>951</v>
      </c>
    </row>
    <row r="953" spans="1:1" x14ac:dyDescent="0.25">
      <c r="A953" t="s">
        <v>952</v>
      </c>
    </row>
    <row r="954" spans="1:1" x14ac:dyDescent="0.25">
      <c r="A954" t="s">
        <v>953</v>
      </c>
    </row>
    <row r="955" spans="1:1" x14ac:dyDescent="0.25">
      <c r="A955" t="s">
        <v>954</v>
      </c>
    </row>
    <row r="956" spans="1:1" x14ac:dyDescent="0.25">
      <c r="A956" t="s">
        <v>955</v>
      </c>
    </row>
    <row r="957" spans="1:1" x14ac:dyDescent="0.25">
      <c r="A957" t="s">
        <v>956</v>
      </c>
    </row>
    <row r="958" spans="1:1" x14ac:dyDescent="0.25">
      <c r="A958" t="s">
        <v>957</v>
      </c>
    </row>
    <row r="959" spans="1:1" x14ac:dyDescent="0.25">
      <c r="A959" t="s">
        <v>958</v>
      </c>
    </row>
    <row r="960" spans="1:1" x14ac:dyDescent="0.25">
      <c r="A960" t="s">
        <v>959</v>
      </c>
    </row>
    <row r="961" spans="1:1" x14ac:dyDescent="0.25">
      <c r="A961" t="s">
        <v>960</v>
      </c>
    </row>
    <row r="962" spans="1:1" x14ac:dyDescent="0.25">
      <c r="A962" t="s">
        <v>961</v>
      </c>
    </row>
    <row r="963" spans="1:1" x14ac:dyDescent="0.25">
      <c r="A963" t="s">
        <v>962</v>
      </c>
    </row>
    <row r="964" spans="1:1" x14ac:dyDescent="0.25">
      <c r="A964" t="s">
        <v>963</v>
      </c>
    </row>
    <row r="965" spans="1:1" x14ac:dyDescent="0.25">
      <c r="A965" t="s">
        <v>964</v>
      </c>
    </row>
    <row r="966" spans="1:1" x14ac:dyDescent="0.25">
      <c r="A966" t="s">
        <v>965</v>
      </c>
    </row>
    <row r="967" spans="1:1" x14ac:dyDescent="0.25">
      <c r="A967" t="s">
        <v>966</v>
      </c>
    </row>
    <row r="968" spans="1:1" x14ac:dyDescent="0.25">
      <c r="A968" t="s">
        <v>967</v>
      </c>
    </row>
    <row r="969" spans="1:1" x14ac:dyDescent="0.25">
      <c r="A969" t="s">
        <v>968</v>
      </c>
    </row>
    <row r="970" spans="1:1" x14ac:dyDescent="0.25">
      <c r="A970" t="s">
        <v>969</v>
      </c>
    </row>
    <row r="971" spans="1:1" x14ac:dyDescent="0.25">
      <c r="A971" t="s">
        <v>970</v>
      </c>
    </row>
    <row r="972" spans="1:1" x14ac:dyDescent="0.25">
      <c r="A972" t="s">
        <v>971</v>
      </c>
    </row>
    <row r="973" spans="1:1" x14ac:dyDescent="0.25">
      <c r="A973" t="s">
        <v>972</v>
      </c>
    </row>
    <row r="974" spans="1:1" x14ac:dyDescent="0.25">
      <c r="A974" t="s">
        <v>973</v>
      </c>
    </row>
    <row r="975" spans="1:1" x14ac:dyDescent="0.25">
      <c r="A975" t="s">
        <v>974</v>
      </c>
    </row>
    <row r="976" spans="1:1" x14ac:dyDescent="0.25">
      <c r="A976" t="s">
        <v>975</v>
      </c>
    </row>
    <row r="977" spans="1:1" x14ac:dyDescent="0.25">
      <c r="A977" t="s">
        <v>976</v>
      </c>
    </row>
    <row r="978" spans="1:1" x14ac:dyDescent="0.25">
      <c r="A978" t="s">
        <v>977</v>
      </c>
    </row>
    <row r="979" spans="1:1" x14ac:dyDescent="0.25">
      <c r="A979" t="s">
        <v>978</v>
      </c>
    </row>
    <row r="980" spans="1:1" x14ac:dyDescent="0.25">
      <c r="A980" t="s">
        <v>979</v>
      </c>
    </row>
    <row r="981" spans="1:1" x14ac:dyDescent="0.25">
      <c r="A981" t="s">
        <v>980</v>
      </c>
    </row>
    <row r="982" spans="1:1" x14ac:dyDescent="0.25">
      <c r="A982" t="s">
        <v>981</v>
      </c>
    </row>
    <row r="983" spans="1:1" x14ac:dyDescent="0.25">
      <c r="A983" t="s">
        <v>982</v>
      </c>
    </row>
    <row r="984" spans="1:1" x14ac:dyDescent="0.25">
      <c r="A984" t="s">
        <v>983</v>
      </c>
    </row>
    <row r="985" spans="1:1" x14ac:dyDescent="0.25">
      <c r="A985" t="s">
        <v>984</v>
      </c>
    </row>
    <row r="986" spans="1:1" x14ac:dyDescent="0.25">
      <c r="A986" t="s">
        <v>985</v>
      </c>
    </row>
    <row r="987" spans="1:1" x14ac:dyDescent="0.25">
      <c r="A987" t="s">
        <v>986</v>
      </c>
    </row>
    <row r="988" spans="1:1" x14ac:dyDescent="0.25">
      <c r="A988" t="s">
        <v>987</v>
      </c>
    </row>
    <row r="989" spans="1:1" x14ac:dyDescent="0.25">
      <c r="A989" t="s">
        <v>988</v>
      </c>
    </row>
    <row r="990" spans="1:1" x14ac:dyDescent="0.25">
      <c r="A990" t="s">
        <v>989</v>
      </c>
    </row>
    <row r="991" spans="1:1" x14ac:dyDescent="0.25">
      <c r="A991" t="s">
        <v>990</v>
      </c>
    </row>
    <row r="992" spans="1:1" x14ac:dyDescent="0.25">
      <c r="A992" t="s">
        <v>991</v>
      </c>
    </row>
    <row r="993" spans="1:1" x14ac:dyDescent="0.25">
      <c r="A993" t="s">
        <v>992</v>
      </c>
    </row>
    <row r="994" spans="1:1" x14ac:dyDescent="0.25">
      <c r="A994" t="s">
        <v>993</v>
      </c>
    </row>
    <row r="995" spans="1:1" x14ac:dyDescent="0.25">
      <c r="A995" t="s">
        <v>994</v>
      </c>
    </row>
    <row r="996" spans="1:1" x14ac:dyDescent="0.25">
      <c r="A996" t="s">
        <v>995</v>
      </c>
    </row>
    <row r="997" spans="1:1" x14ac:dyDescent="0.25">
      <c r="A997" t="s">
        <v>996</v>
      </c>
    </row>
    <row r="998" spans="1:1" x14ac:dyDescent="0.25">
      <c r="A998" t="s">
        <v>997</v>
      </c>
    </row>
    <row r="999" spans="1:1" x14ac:dyDescent="0.25">
      <c r="A999" t="s">
        <v>998</v>
      </c>
    </row>
    <row r="1000" spans="1:1" x14ac:dyDescent="0.25">
      <c r="A1000" t="s">
        <v>999</v>
      </c>
    </row>
    <row r="1001" spans="1:1" x14ac:dyDescent="0.25">
      <c r="A1001" t="s">
        <v>1000</v>
      </c>
    </row>
    <row r="1002" spans="1:1" x14ac:dyDescent="0.25">
      <c r="A1002" t="s">
        <v>1001</v>
      </c>
    </row>
    <row r="1003" spans="1:1" x14ac:dyDescent="0.25">
      <c r="A1003" t="s">
        <v>1002</v>
      </c>
    </row>
    <row r="1004" spans="1:1" x14ac:dyDescent="0.25">
      <c r="A1004" t="s">
        <v>1003</v>
      </c>
    </row>
    <row r="1005" spans="1:1" x14ac:dyDescent="0.25">
      <c r="A1005" t="s">
        <v>1004</v>
      </c>
    </row>
    <row r="1006" spans="1:1" x14ac:dyDescent="0.25">
      <c r="A1006" t="s">
        <v>1005</v>
      </c>
    </row>
    <row r="1007" spans="1:1" x14ac:dyDescent="0.25">
      <c r="A1007" t="s">
        <v>1006</v>
      </c>
    </row>
    <row r="1008" spans="1:1" x14ac:dyDescent="0.25">
      <c r="A1008" t="s">
        <v>1007</v>
      </c>
    </row>
    <row r="1009" spans="1:1" x14ac:dyDescent="0.25">
      <c r="A1009" t="s">
        <v>1008</v>
      </c>
    </row>
    <row r="1010" spans="1:1" x14ac:dyDescent="0.25">
      <c r="A1010" t="s">
        <v>1009</v>
      </c>
    </row>
    <row r="1011" spans="1:1" x14ac:dyDescent="0.25">
      <c r="A1011" t="s">
        <v>1010</v>
      </c>
    </row>
    <row r="1012" spans="1:1" x14ac:dyDescent="0.25">
      <c r="A1012" t="s">
        <v>1011</v>
      </c>
    </row>
    <row r="1013" spans="1:1" x14ac:dyDescent="0.25">
      <c r="A1013" t="s">
        <v>1012</v>
      </c>
    </row>
    <row r="1014" spans="1:1" x14ac:dyDescent="0.25">
      <c r="A1014" t="s">
        <v>1013</v>
      </c>
    </row>
    <row r="1015" spans="1:1" x14ac:dyDescent="0.25">
      <c r="A1015" t="s">
        <v>1014</v>
      </c>
    </row>
    <row r="1016" spans="1:1" x14ac:dyDescent="0.25">
      <c r="A1016" t="s">
        <v>1015</v>
      </c>
    </row>
    <row r="1017" spans="1:1" x14ac:dyDescent="0.25">
      <c r="A1017" t="s">
        <v>1016</v>
      </c>
    </row>
    <row r="1018" spans="1:1" x14ac:dyDescent="0.25">
      <c r="A1018" t="s">
        <v>1017</v>
      </c>
    </row>
    <row r="1019" spans="1:1" x14ac:dyDescent="0.25">
      <c r="A1019" t="s">
        <v>1018</v>
      </c>
    </row>
    <row r="1020" spans="1:1" x14ac:dyDescent="0.25">
      <c r="A1020" t="s">
        <v>1019</v>
      </c>
    </row>
    <row r="1021" spans="1:1" x14ac:dyDescent="0.25">
      <c r="A1021" t="s">
        <v>1020</v>
      </c>
    </row>
    <row r="1022" spans="1:1" x14ac:dyDescent="0.25">
      <c r="A1022" t="s">
        <v>1021</v>
      </c>
    </row>
    <row r="1023" spans="1:1" x14ac:dyDescent="0.25">
      <c r="A1023" t="s">
        <v>1022</v>
      </c>
    </row>
    <row r="1024" spans="1:1" x14ac:dyDescent="0.25">
      <c r="A1024" t="s">
        <v>1023</v>
      </c>
    </row>
    <row r="1025" spans="1:1" x14ac:dyDescent="0.25">
      <c r="A1025" t="s">
        <v>1024</v>
      </c>
    </row>
    <row r="1026" spans="1:1" x14ac:dyDescent="0.25">
      <c r="A1026" t="s">
        <v>1025</v>
      </c>
    </row>
    <row r="1027" spans="1:1" x14ac:dyDescent="0.25">
      <c r="A1027" t="s">
        <v>1026</v>
      </c>
    </row>
    <row r="1028" spans="1:1" x14ac:dyDescent="0.25">
      <c r="A1028" t="s">
        <v>1027</v>
      </c>
    </row>
    <row r="1029" spans="1:1" x14ac:dyDescent="0.25">
      <c r="A1029" t="s">
        <v>1028</v>
      </c>
    </row>
    <row r="1030" spans="1:1" x14ac:dyDescent="0.25">
      <c r="A1030" t="s">
        <v>1029</v>
      </c>
    </row>
    <row r="1031" spans="1:1" x14ac:dyDescent="0.25">
      <c r="A1031" t="s">
        <v>1030</v>
      </c>
    </row>
    <row r="1032" spans="1:1" x14ac:dyDescent="0.25">
      <c r="A1032" t="s">
        <v>1031</v>
      </c>
    </row>
    <row r="1033" spans="1:1" x14ac:dyDescent="0.25">
      <c r="A1033" t="s">
        <v>1032</v>
      </c>
    </row>
    <row r="1034" spans="1:1" x14ac:dyDescent="0.25">
      <c r="A1034" t="s">
        <v>1033</v>
      </c>
    </row>
    <row r="1035" spans="1:1" x14ac:dyDescent="0.25">
      <c r="A1035" t="s">
        <v>1034</v>
      </c>
    </row>
    <row r="1036" spans="1:1" x14ac:dyDescent="0.25">
      <c r="A1036" t="s">
        <v>1035</v>
      </c>
    </row>
    <row r="1037" spans="1:1" x14ac:dyDescent="0.25">
      <c r="A1037" t="s">
        <v>1036</v>
      </c>
    </row>
    <row r="1038" spans="1:1" x14ac:dyDescent="0.25">
      <c r="A1038" t="s">
        <v>1037</v>
      </c>
    </row>
    <row r="1039" spans="1:1" x14ac:dyDescent="0.25">
      <c r="A1039" t="s">
        <v>1038</v>
      </c>
    </row>
    <row r="1040" spans="1:1" x14ac:dyDescent="0.25">
      <c r="A1040" t="s">
        <v>1039</v>
      </c>
    </row>
    <row r="1041" spans="1:1" x14ac:dyDescent="0.25">
      <c r="A1041" t="s">
        <v>1040</v>
      </c>
    </row>
    <row r="1042" spans="1:1" x14ac:dyDescent="0.25">
      <c r="A1042" t="s">
        <v>1041</v>
      </c>
    </row>
    <row r="1043" spans="1:1" x14ac:dyDescent="0.25">
      <c r="A1043" t="s">
        <v>1042</v>
      </c>
    </row>
    <row r="1044" spans="1:1" x14ac:dyDescent="0.25">
      <c r="A1044" t="s">
        <v>1043</v>
      </c>
    </row>
    <row r="1045" spans="1:1" x14ac:dyDescent="0.25">
      <c r="A1045" t="s">
        <v>1044</v>
      </c>
    </row>
    <row r="1046" spans="1:1" x14ac:dyDescent="0.25">
      <c r="A1046" t="s">
        <v>1045</v>
      </c>
    </row>
    <row r="1047" spans="1:1" x14ac:dyDescent="0.25">
      <c r="A1047" t="s">
        <v>1046</v>
      </c>
    </row>
    <row r="1048" spans="1:1" x14ac:dyDescent="0.25">
      <c r="A1048" t="s">
        <v>1047</v>
      </c>
    </row>
    <row r="1049" spans="1:1" x14ac:dyDescent="0.25">
      <c r="A1049" t="s">
        <v>1048</v>
      </c>
    </row>
    <row r="1050" spans="1:1" x14ac:dyDescent="0.25">
      <c r="A1050" t="s">
        <v>1049</v>
      </c>
    </row>
    <row r="1051" spans="1:1" x14ac:dyDescent="0.25">
      <c r="A1051" t="s">
        <v>1050</v>
      </c>
    </row>
    <row r="1052" spans="1:1" x14ac:dyDescent="0.25">
      <c r="A1052" t="s">
        <v>1051</v>
      </c>
    </row>
    <row r="1053" spans="1:1" x14ac:dyDescent="0.25">
      <c r="A1053" t="s">
        <v>1052</v>
      </c>
    </row>
    <row r="1054" spans="1:1" x14ac:dyDescent="0.25">
      <c r="A1054" t="s">
        <v>1053</v>
      </c>
    </row>
    <row r="1055" spans="1:1" x14ac:dyDescent="0.25">
      <c r="A1055" t="s">
        <v>1054</v>
      </c>
    </row>
    <row r="1056" spans="1:1" x14ac:dyDescent="0.25">
      <c r="A1056" t="s">
        <v>1055</v>
      </c>
    </row>
    <row r="1057" spans="1:1" x14ac:dyDescent="0.25">
      <c r="A1057" t="s">
        <v>1056</v>
      </c>
    </row>
    <row r="1058" spans="1:1" x14ac:dyDescent="0.25">
      <c r="A1058" t="s">
        <v>1057</v>
      </c>
    </row>
    <row r="1059" spans="1:1" x14ac:dyDescent="0.25">
      <c r="A1059" t="s">
        <v>1058</v>
      </c>
    </row>
    <row r="1060" spans="1:1" x14ac:dyDescent="0.25">
      <c r="A1060" t="s">
        <v>1059</v>
      </c>
    </row>
    <row r="1061" spans="1:1" x14ac:dyDescent="0.25">
      <c r="A1061" t="s">
        <v>1060</v>
      </c>
    </row>
    <row r="1062" spans="1:1" x14ac:dyDescent="0.25">
      <c r="A1062" t="s">
        <v>1061</v>
      </c>
    </row>
    <row r="1063" spans="1:1" x14ac:dyDescent="0.25">
      <c r="A1063" t="s">
        <v>1062</v>
      </c>
    </row>
    <row r="1064" spans="1:1" x14ac:dyDescent="0.25">
      <c r="A1064" t="s">
        <v>1063</v>
      </c>
    </row>
    <row r="1065" spans="1:1" x14ac:dyDescent="0.25">
      <c r="A1065" t="s">
        <v>1064</v>
      </c>
    </row>
    <row r="1066" spans="1:1" x14ac:dyDescent="0.25">
      <c r="A1066" t="s">
        <v>1065</v>
      </c>
    </row>
    <row r="1067" spans="1:1" x14ac:dyDescent="0.25">
      <c r="A1067" t="s">
        <v>1066</v>
      </c>
    </row>
    <row r="1068" spans="1:1" x14ac:dyDescent="0.25">
      <c r="A1068" t="s">
        <v>1067</v>
      </c>
    </row>
    <row r="1069" spans="1:1" x14ac:dyDescent="0.25">
      <c r="A1069" t="s">
        <v>1068</v>
      </c>
    </row>
    <row r="1070" spans="1:1" x14ac:dyDescent="0.25">
      <c r="A1070" t="s">
        <v>1069</v>
      </c>
    </row>
    <row r="1071" spans="1:1" x14ac:dyDescent="0.25">
      <c r="A1071" t="s">
        <v>1070</v>
      </c>
    </row>
    <row r="1072" spans="1:1" x14ac:dyDescent="0.25">
      <c r="A1072" t="s">
        <v>1071</v>
      </c>
    </row>
    <row r="1073" spans="1:1" x14ac:dyDescent="0.25">
      <c r="A1073" t="s">
        <v>1072</v>
      </c>
    </row>
    <row r="1074" spans="1:1" x14ac:dyDescent="0.25">
      <c r="A1074" t="s">
        <v>1073</v>
      </c>
    </row>
    <row r="1075" spans="1:1" x14ac:dyDescent="0.25">
      <c r="A1075" t="s">
        <v>1074</v>
      </c>
    </row>
    <row r="1076" spans="1:1" x14ac:dyDescent="0.25">
      <c r="A1076" t="s">
        <v>1075</v>
      </c>
    </row>
    <row r="1077" spans="1:1" x14ac:dyDescent="0.25">
      <c r="A1077" t="s">
        <v>1076</v>
      </c>
    </row>
    <row r="1078" spans="1:1" x14ac:dyDescent="0.25">
      <c r="A1078" t="s">
        <v>1077</v>
      </c>
    </row>
    <row r="1079" spans="1:1" x14ac:dyDescent="0.25">
      <c r="A1079" t="s">
        <v>1078</v>
      </c>
    </row>
    <row r="1080" spans="1:1" x14ac:dyDescent="0.25">
      <c r="A1080" t="s">
        <v>1079</v>
      </c>
    </row>
    <row r="1081" spans="1:1" x14ac:dyDescent="0.25">
      <c r="A1081" t="s">
        <v>1080</v>
      </c>
    </row>
    <row r="1082" spans="1:1" x14ac:dyDescent="0.25">
      <c r="A1082" t="s">
        <v>1081</v>
      </c>
    </row>
    <row r="1083" spans="1:1" x14ac:dyDescent="0.25">
      <c r="A1083" t="s">
        <v>1082</v>
      </c>
    </row>
    <row r="1084" spans="1:1" x14ac:dyDescent="0.25">
      <c r="A1084" t="s">
        <v>1083</v>
      </c>
    </row>
    <row r="1085" spans="1:1" x14ac:dyDescent="0.25">
      <c r="A1085" t="s">
        <v>1084</v>
      </c>
    </row>
    <row r="1086" spans="1:1" x14ac:dyDescent="0.25">
      <c r="A1086" t="s">
        <v>1085</v>
      </c>
    </row>
    <row r="1087" spans="1:1" x14ac:dyDescent="0.25">
      <c r="A1087" t="s">
        <v>1086</v>
      </c>
    </row>
    <row r="1088" spans="1:1" x14ac:dyDescent="0.25">
      <c r="A1088" t="s">
        <v>1087</v>
      </c>
    </row>
    <row r="1089" spans="1:1" x14ac:dyDescent="0.25">
      <c r="A1089" t="s">
        <v>1088</v>
      </c>
    </row>
    <row r="1090" spans="1:1" x14ac:dyDescent="0.25">
      <c r="A1090" t="s">
        <v>1089</v>
      </c>
    </row>
    <row r="1091" spans="1:1" x14ac:dyDescent="0.25">
      <c r="A1091" t="s">
        <v>1090</v>
      </c>
    </row>
    <row r="1092" spans="1:1" x14ac:dyDescent="0.25">
      <c r="A1092" t="s">
        <v>1091</v>
      </c>
    </row>
    <row r="1093" spans="1:1" x14ac:dyDescent="0.25">
      <c r="A1093" t="s">
        <v>1092</v>
      </c>
    </row>
    <row r="1094" spans="1:1" x14ac:dyDescent="0.25">
      <c r="A1094" t="s">
        <v>1093</v>
      </c>
    </row>
    <row r="1095" spans="1:1" x14ac:dyDescent="0.25">
      <c r="A1095" t="s">
        <v>1094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1616E-B47F-4949-B2E8-9BABCCEDA8CF}">
  <dimension ref="A1:F1095"/>
  <sheetViews>
    <sheetView topLeftCell="E1" workbookViewId="0">
      <selection activeCell="H8" sqref="H8"/>
    </sheetView>
  </sheetViews>
  <sheetFormatPr defaultRowHeight="15" x14ac:dyDescent="0.25"/>
  <cols>
    <col min="1" max="1" width="19.85546875" style="2" bestFit="1" customWidth="1"/>
    <col min="2" max="2" width="12.42578125" style="2" bestFit="1" customWidth="1"/>
    <col min="3" max="3" width="21.85546875" style="2" bestFit="1" customWidth="1"/>
    <col min="4" max="4" width="10.42578125" style="4" bestFit="1" customWidth="1"/>
    <col min="5" max="5" width="8.5703125" style="17" bestFit="1" customWidth="1"/>
    <col min="6" max="6" width="13.85546875" style="5" bestFit="1" customWidth="1"/>
  </cols>
  <sheetData>
    <row r="1" spans="1:6" x14ac:dyDescent="0.25">
      <c r="A1" s="6" t="s">
        <v>1095</v>
      </c>
      <c r="B1" s="6" t="s">
        <v>1096</v>
      </c>
      <c r="C1" s="6" t="s">
        <v>1097</v>
      </c>
      <c r="D1" s="7" t="s">
        <v>1098</v>
      </c>
      <c r="E1" s="14" t="s">
        <v>1099</v>
      </c>
      <c r="F1" s="8" t="s">
        <v>1100</v>
      </c>
    </row>
    <row r="2" spans="1:6" x14ac:dyDescent="0.25">
      <c r="A2" s="9" t="s">
        <v>1101</v>
      </c>
      <c r="B2" s="9" t="s">
        <v>1102</v>
      </c>
      <c r="C2" s="9" t="s">
        <v>1103</v>
      </c>
      <c r="D2" s="10">
        <v>44565</v>
      </c>
      <c r="E2" s="15">
        <v>5.32</v>
      </c>
      <c r="F2" s="11">
        <v>180</v>
      </c>
    </row>
    <row r="3" spans="1:6" x14ac:dyDescent="0.25">
      <c r="A3" s="9" t="s">
        <v>1104</v>
      </c>
      <c r="B3" s="9" t="s">
        <v>1105</v>
      </c>
      <c r="C3" s="9" t="s">
        <v>1106</v>
      </c>
      <c r="D3" s="10">
        <v>44774</v>
      </c>
      <c r="E3" s="16">
        <v>7.8959999999999999</v>
      </c>
      <c r="F3" s="11">
        <v>94</v>
      </c>
    </row>
    <row r="4" spans="1:6" x14ac:dyDescent="0.25">
      <c r="A4" s="9" t="s">
        <v>1107</v>
      </c>
      <c r="B4" s="9" t="s">
        <v>1105</v>
      </c>
      <c r="C4" s="9" t="s">
        <v>1108</v>
      </c>
      <c r="D4" s="10">
        <v>44749</v>
      </c>
      <c r="E4" s="16">
        <v>4.5010000000000003</v>
      </c>
      <c r="F4" s="11">
        <v>91</v>
      </c>
    </row>
    <row r="5" spans="1:6" x14ac:dyDescent="0.25">
      <c r="A5" s="9" t="s">
        <v>1109</v>
      </c>
      <c r="B5" s="9" t="s">
        <v>1110</v>
      </c>
      <c r="C5" s="9" t="s">
        <v>1108</v>
      </c>
      <c r="D5" s="10">
        <v>44678</v>
      </c>
      <c r="E5" s="16">
        <v>12.726000000000001</v>
      </c>
      <c r="F5" s="11">
        <v>342</v>
      </c>
    </row>
    <row r="6" spans="1:6" x14ac:dyDescent="0.25">
      <c r="A6" s="9" t="s">
        <v>1101</v>
      </c>
      <c r="B6" s="9" t="s">
        <v>1102</v>
      </c>
      <c r="C6" s="9" t="s">
        <v>1108</v>
      </c>
      <c r="D6" s="10">
        <v>44616</v>
      </c>
      <c r="E6" s="16">
        <v>13.685</v>
      </c>
      <c r="F6" s="11">
        <v>184</v>
      </c>
    </row>
    <row r="7" spans="1:6" x14ac:dyDescent="0.25">
      <c r="A7" s="9" t="s">
        <v>1104</v>
      </c>
      <c r="B7" s="9" t="s">
        <v>1105</v>
      </c>
      <c r="C7" s="9" t="s">
        <v>1111</v>
      </c>
      <c r="D7" s="10">
        <v>44718</v>
      </c>
      <c r="E7" s="16">
        <v>5.3760000000000003</v>
      </c>
      <c r="F7" s="11">
        <v>38</v>
      </c>
    </row>
    <row r="8" spans="1:6" x14ac:dyDescent="0.25">
      <c r="A8" s="9" t="s">
        <v>1112</v>
      </c>
      <c r="B8" s="9" t="s">
        <v>1102</v>
      </c>
      <c r="C8" s="9" t="s">
        <v>1113</v>
      </c>
      <c r="D8" s="10">
        <v>44586</v>
      </c>
      <c r="E8" s="16">
        <v>13.685</v>
      </c>
      <c r="F8" s="11">
        <v>176</v>
      </c>
    </row>
    <row r="9" spans="1:6" x14ac:dyDescent="0.25">
      <c r="A9" s="9" t="s">
        <v>1114</v>
      </c>
      <c r="B9" s="9" t="s">
        <v>1110</v>
      </c>
      <c r="C9" s="9" t="s">
        <v>1115</v>
      </c>
      <c r="D9" s="10">
        <v>44644</v>
      </c>
      <c r="E9" s="16">
        <v>3.08</v>
      </c>
      <c r="F9" s="11">
        <v>73</v>
      </c>
    </row>
    <row r="10" spans="1:6" x14ac:dyDescent="0.25">
      <c r="A10" s="9" t="s">
        <v>1101</v>
      </c>
      <c r="B10" s="9" t="s">
        <v>1116</v>
      </c>
      <c r="C10" s="9" t="s">
        <v>1117</v>
      </c>
      <c r="D10" s="10">
        <v>44671</v>
      </c>
      <c r="E10" s="16">
        <v>3.99</v>
      </c>
      <c r="F10" s="11">
        <v>59</v>
      </c>
    </row>
    <row r="11" spans="1:6" x14ac:dyDescent="0.25">
      <c r="A11" s="9" t="s">
        <v>1118</v>
      </c>
      <c r="B11" s="9" t="s">
        <v>1110</v>
      </c>
      <c r="C11" s="9" t="s">
        <v>1113</v>
      </c>
      <c r="D11" s="10">
        <v>44746</v>
      </c>
      <c r="E11" s="16">
        <v>2.835</v>
      </c>
      <c r="F11" s="11">
        <v>102</v>
      </c>
    </row>
    <row r="12" spans="1:6" x14ac:dyDescent="0.25">
      <c r="A12" s="9" t="s">
        <v>1119</v>
      </c>
      <c r="B12" s="9" t="s">
        <v>1102</v>
      </c>
      <c r="C12" s="9" t="s">
        <v>1111</v>
      </c>
      <c r="D12" s="10">
        <v>44574</v>
      </c>
      <c r="E12" s="16">
        <v>4.7039999999999997</v>
      </c>
      <c r="F12" s="11">
        <v>62</v>
      </c>
    </row>
    <row r="13" spans="1:6" x14ac:dyDescent="0.25">
      <c r="A13" s="9" t="s">
        <v>1120</v>
      </c>
      <c r="B13" s="9" t="s">
        <v>1121</v>
      </c>
      <c r="C13" s="9" t="s">
        <v>1122</v>
      </c>
      <c r="D13" s="10">
        <v>44630</v>
      </c>
      <c r="E13" s="16">
        <v>3.7029999999999998</v>
      </c>
      <c r="F13" s="11">
        <v>11</v>
      </c>
    </row>
    <row r="14" spans="1:6" x14ac:dyDescent="0.25">
      <c r="A14" s="9" t="s">
        <v>1123</v>
      </c>
      <c r="B14" s="9" t="s">
        <v>1124</v>
      </c>
      <c r="C14" s="9" t="s">
        <v>1125</v>
      </c>
      <c r="D14" s="10">
        <v>44574</v>
      </c>
      <c r="E14" s="16">
        <v>1.4419999999999999</v>
      </c>
      <c r="F14" s="11">
        <v>286</v>
      </c>
    </row>
    <row r="15" spans="1:6" x14ac:dyDescent="0.25">
      <c r="A15" s="9" t="s">
        <v>1126</v>
      </c>
      <c r="B15" s="9" t="s">
        <v>1116</v>
      </c>
      <c r="C15" s="9" t="s">
        <v>1127</v>
      </c>
      <c r="D15" s="10">
        <v>44770</v>
      </c>
      <c r="E15" s="16">
        <v>168</v>
      </c>
      <c r="F15" s="11">
        <v>156</v>
      </c>
    </row>
    <row r="16" spans="1:6" x14ac:dyDescent="0.25">
      <c r="A16" s="9" t="s">
        <v>1128</v>
      </c>
      <c r="B16" s="9" t="s">
        <v>1116</v>
      </c>
      <c r="C16" s="9" t="s">
        <v>1108</v>
      </c>
      <c r="D16" s="10">
        <v>44776</v>
      </c>
      <c r="E16" s="16">
        <v>8.3789999999999996</v>
      </c>
      <c r="F16" s="11">
        <v>173</v>
      </c>
    </row>
    <row r="17" spans="1:6" x14ac:dyDescent="0.25">
      <c r="A17" s="9" t="s">
        <v>1129</v>
      </c>
      <c r="B17" s="9" t="s">
        <v>1110</v>
      </c>
      <c r="C17" s="9" t="s">
        <v>1130</v>
      </c>
      <c r="D17" s="10">
        <v>44587</v>
      </c>
      <c r="E17" s="16">
        <v>6.79</v>
      </c>
      <c r="F17" s="11">
        <v>356</v>
      </c>
    </row>
    <row r="18" spans="1:6" x14ac:dyDescent="0.25">
      <c r="A18" s="9" t="s">
        <v>1104</v>
      </c>
      <c r="B18" s="9" t="s">
        <v>1124</v>
      </c>
      <c r="C18" s="9" t="s">
        <v>1130</v>
      </c>
      <c r="D18" s="10">
        <v>44606</v>
      </c>
      <c r="E18" s="16">
        <v>4.0670000000000002</v>
      </c>
      <c r="F18" s="11">
        <v>42</v>
      </c>
    </row>
    <row r="19" spans="1:6" x14ac:dyDescent="0.25">
      <c r="A19" s="9" t="s">
        <v>1131</v>
      </c>
      <c r="B19" s="9" t="s">
        <v>1121</v>
      </c>
      <c r="C19" s="9" t="s">
        <v>1111</v>
      </c>
      <c r="D19" s="10">
        <v>44656</v>
      </c>
      <c r="E19" s="16">
        <v>3.0169999999999999</v>
      </c>
      <c r="F19" s="11">
        <v>140</v>
      </c>
    </row>
    <row r="20" spans="1:6" x14ac:dyDescent="0.25">
      <c r="A20" s="9" t="s">
        <v>1129</v>
      </c>
      <c r="B20" s="9" t="s">
        <v>1124</v>
      </c>
      <c r="C20" s="9" t="s">
        <v>1132</v>
      </c>
      <c r="D20" s="10">
        <v>44608</v>
      </c>
      <c r="E20" s="16">
        <v>8.7989999999999995</v>
      </c>
      <c r="F20" s="11">
        <v>250</v>
      </c>
    </row>
    <row r="21" spans="1:6" x14ac:dyDescent="0.25">
      <c r="A21" s="9" t="s">
        <v>1133</v>
      </c>
      <c r="B21" s="9" t="s">
        <v>1102</v>
      </c>
      <c r="C21" s="9" t="s">
        <v>1106</v>
      </c>
      <c r="D21" s="10">
        <v>44720</v>
      </c>
      <c r="E21" s="16">
        <v>1.085</v>
      </c>
      <c r="F21" s="11">
        <v>172</v>
      </c>
    </row>
    <row r="22" spans="1:6" x14ac:dyDescent="0.25">
      <c r="A22" s="9" t="s">
        <v>1118</v>
      </c>
      <c r="B22" s="9" t="s">
        <v>1110</v>
      </c>
      <c r="C22" s="9" t="s">
        <v>1125</v>
      </c>
      <c r="D22" s="10">
        <v>44739</v>
      </c>
      <c r="E22" s="16">
        <v>6.8879999999999999</v>
      </c>
      <c r="F22" s="11">
        <v>88</v>
      </c>
    </row>
    <row r="23" spans="1:6" x14ac:dyDescent="0.25">
      <c r="A23" s="9" t="s">
        <v>1114</v>
      </c>
      <c r="B23" s="9" t="s">
        <v>1121</v>
      </c>
      <c r="C23" s="9" t="s">
        <v>1134</v>
      </c>
      <c r="D23" s="10">
        <v>44609</v>
      </c>
      <c r="E23" s="16">
        <v>1.2669999999999999</v>
      </c>
      <c r="F23" s="11">
        <v>157</v>
      </c>
    </row>
    <row r="24" spans="1:6" x14ac:dyDescent="0.25">
      <c r="A24" s="9" t="s">
        <v>1128</v>
      </c>
      <c r="B24" s="9" t="s">
        <v>1121</v>
      </c>
      <c r="C24" s="9" t="s">
        <v>1115</v>
      </c>
      <c r="D24" s="10">
        <v>44711</v>
      </c>
      <c r="E24" s="16">
        <v>4.7530000000000001</v>
      </c>
      <c r="F24" s="11">
        <v>163</v>
      </c>
    </row>
    <row r="25" spans="1:6" x14ac:dyDescent="0.25">
      <c r="A25" s="9" t="s">
        <v>1135</v>
      </c>
      <c r="B25" s="9" t="s">
        <v>1102</v>
      </c>
      <c r="C25" s="9" t="s">
        <v>1127</v>
      </c>
      <c r="D25" s="10">
        <v>44634</v>
      </c>
      <c r="E25" s="16">
        <v>3.0030000000000001</v>
      </c>
      <c r="F25" s="11">
        <v>113</v>
      </c>
    </row>
    <row r="26" spans="1:6" x14ac:dyDescent="0.25">
      <c r="A26" s="9" t="s">
        <v>1136</v>
      </c>
      <c r="B26" s="9" t="s">
        <v>1110</v>
      </c>
      <c r="C26" s="9" t="s">
        <v>1125</v>
      </c>
      <c r="D26" s="10">
        <v>44620</v>
      </c>
      <c r="E26" s="16">
        <v>7.6719999999999997</v>
      </c>
      <c r="F26" s="11">
        <v>115</v>
      </c>
    </row>
    <row r="27" spans="1:6" x14ac:dyDescent="0.25">
      <c r="A27" s="9" t="s">
        <v>1126</v>
      </c>
      <c r="B27" s="9" t="s">
        <v>1105</v>
      </c>
      <c r="C27" s="9" t="s">
        <v>1137</v>
      </c>
      <c r="D27" s="10">
        <v>44587</v>
      </c>
      <c r="E27" s="16">
        <v>168</v>
      </c>
      <c r="F27" s="11">
        <v>321</v>
      </c>
    </row>
    <row r="28" spans="1:6" x14ac:dyDescent="0.25">
      <c r="A28" s="9" t="s">
        <v>1131</v>
      </c>
      <c r="B28" s="9" t="s">
        <v>1124</v>
      </c>
      <c r="C28" s="9" t="s">
        <v>1134</v>
      </c>
      <c r="D28" s="10">
        <v>44601</v>
      </c>
      <c r="E28" s="16">
        <v>1.6519999999999999</v>
      </c>
      <c r="F28" s="11">
        <v>186</v>
      </c>
    </row>
    <row r="29" spans="1:6" x14ac:dyDescent="0.25">
      <c r="A29" s="9" t="s">
        <v>1135</v>
      </c>
      <c r="B29" s="9" t="s">
        <v>1121</v>
      </c>
      <c r="C29" s="9" t="s">
        <v>1125</v>
      </c>
      <c r="D29" s="10">
        <v>44749</v>
      </c>
      <c r="E29" s="16">
        <v>4.0250000000000004</v>
      </c>
      <c r="F29" s="11">
        <v>112</v>
      </c>
    </row>
    <row r="30" spans="1:6" x14ac:dyDescent="0.25">
      <c r="A30" s="9" t="s">
        <v>1138</v>
      </c>
      <c r="B30" s="9" t="s">
        <v>1116</v>
      </c>
      <c r="C30" s="9" t="s">
        <v>1139</v>
      </c>
      <c r="D30" s="10">
        <v>44747</v>
      </c>
      <c r="E30" s="16">
        <v>9.4920000000000009</v>
      </c>
      <c r="F30" s="11">
        <v>151</v>
      </c>
    </row>
    <row r="31" spans="1:6" x14ac:dyDescent="0.25">
      <c r="A31" s="9" t="s">
        <v>1138</v>
      </c>
      <c r="B31" s="9" t="s">
        <v>1116</v>
      </c>
      <c r="C31" s="9" t="s">
        <v>1140</v>
      </c>
      <c r="D31" s="10">
        <v>44727</v>
      </c>
      <c r="E31" s="16">
        <v>5.0609999999999999</v>
      </c>
      <c r="F31" s="11">
        <v>301</v>
      </c>
    </row>
    <row r="32" spans="1:6" x14ac:dyDescent="0.25">
      <c r="A32" s="9" t="s">
        <v>1104</v>
      </c>
      <c r="B32" s="9" t="s">
        <v>1116</v>
      </c>
      <c r="C32" s="9" t="s">
        <v>1106</v>
      </c>
      <c r="D32" s="10">
        <v>44705</v>
      </c>
      <c r="E32" s="16">
        <v>1.722</v>
      </c>
      <c r="F32" s="11">
        <v>121</v>
      </c>
    </row>
    <row r="33" spans="1:6" x14ac:dyDescent="0.25">
      <c r="A33" s="9" t="s">
        <v>1119</v>
      </c>
      <c r="B33" s="9" t="s">
        <v>1102</v>
      </c>
      <c r="C33" s="9" t="s">
        <v>1113</v>
      </c>
      <c r="D33" s="10">
        <v>44741</v>
      </c>
      <c r="E33" s="16">
        <v>12.446</v>
      </c>
      <c r="F33" s="11">
        <v>150</v>
      </c>
    </row>
    <row r="34" spans="1:6" x14ac:dyDescent="0.25">
      <c r="A34" s="9" t="s">
        <v>1141</v>
      </c>
      <c r="B34" s="9" t="s">
        <v>1110</v>
      </c>
      <c r="C34" s="9" t="s">
        <v>1140</v>
      </c>
      <c r="D34" s="10">
        <v>44692</v>
      </c>
      <c r="E34" s="16">
        <v>4.2839999999999998</v>
      </c>
      <c r="F34" s="11">
        <v>94</v>
      </c>
    </row>
    <row r="35" spans="1:6" x14ac:dyDescent="0.25">
      <c r="A35" s="9" t="s">
        <v>1126</v>
      </c>
      <c r="B35" s="9" t="s">
        <v>1102</v>
      </c>
      <c r="C35" s="9" t="s">
        <v>1142</v>
      </c>
      <c r="D35" s="10">
        <v>44742</v>
      </c>
      <c r="E35" s="16">
        <v>6.8390000000000004</v>
      </c>
      <c r="F35" s="11">
        <v>133</v>
      </c>
    </row>
    <row r="36" spans="1:6" x14ac:dyDescent="0.25">
      <c r="A36" s="9" t="s">
        <v>1143</v>
      </c>
      <c r="B36" s="9" t="s">
        <v>1124</v>
      </c>
      <c r="C36" s="9" t="s">
        <v>1115</v>
      </c>
      <c r="D36" s="10">
        <v>44692</v>
      </c>
      <c r="E36" s="16">
        <v>2.1629999999999998</v>
      </c>
      <c r="F36" s="11">
        <v>70</v>
      </c>
    </row>
    <row r="37" spans="1:6" x14ac:dyDescent="0.25">
      <c r="A37" s="9" t="s">
        <v>1131</v>
      </c>
      <c r="B37" s="9" t="s">
        <v>1121</v>
      </c>
      <c r="C37" s="9" t="s">
        <v>1140</v>
      </c>
      <c r="D37" s="10">
        <v>44764</v>
      </c>
      <c r="E37" s="16">
        <v>9.5830000000000002</v>
      </c>
      <c r="F37" s="11">
        <v>315</v>
      </c>
    </row>
    <row r="38" spans="1:6" x14ac:dyDescent="0.25">
      <c r="A38" s="9" t="s">
        <v>1143</v>
      </c>
      <c r="B38" s="9" t="s">
        <v>1102</v>
      </c>
      <c r="C38" s="9" t="s">
        <v>1117</v>
      </c>
      <c r="D38" s="10">
        <v>44797</v>
      </c>
      <c r="E38" s="16">
        <v>2.653</v>
      </c>
      <c r="F38" s="11">
        <v>314</v>
      </c>
    </row>
    <row r="39" spans="1:6" x14ac:dyDescent="0.25">
      <c r="A39" s="9" t="s">
        <v>1144</v>
      </c>
      <c r="B39" s="9" t="s">
        <v>1116</v>
      </c>
      <c r="C39" s="9" t="s">
        <v>1115</v>
      </c>
      <c r="D39" s="10">
        <v>44749</v>
      </c>
      <c r="E39" s="16">
        <v>147</v>
      </c>
      <c r="F39" s="11">
        <v>72</v>
      </c>
    </row>
    <row r="40" spans="1:6" x14ac:dyDescent="0.25">
      <c r="A40" s="9" t="s">
        <v>1145</v>
      </c>
      <c r="B40" s="9" t="s">
        <v>1110</v>
      </c>
      <c r="C40" s="9" t="s">
        <v>1106</v>
      </c>
      <c r="D40" s="10">
        <v>44700</v>
      </c>
      <c r="E40" s="16">
        <v>3.6539999999999999</v>
      </c>
      <c r="F40" s="11">
        <v>14</v>
      </c>
    </row>
    <row r="41" spans="1:6" x14ac:dyDescent="0.25">
      <c r="A41" s="9" t="s">
        <v>1126</v>
      </c>
      <c r="B41" s="9" t="s">
        <v>1105</v>
      </c>
      <c r="C41" s="9" t="s">
        <v>1140</v>
      </c>
      <c r="D41" s="10">
        <v>44746</v>
      </c>
      <c r="E41" s="16">
        <v>2.4430000000000001</v>
      </c>
      <c r="F41" s="11">
        <v>581</v>
      </c>
    </row>
    <row r="42" spans="1:6" x14ac:dyDescent="0.25">
      <c r="A42" s="9" t="s">
        <v>1144</v>
      </c>
      <c r="B42" s="9" t="s">
        <v>1121</v>
      </c>
      <c r="C42" s="9" t="s">
        <v>1115</v>
      </c>
      <c r="D42" s="10">
        <v>44714</v>
      </c>
      <c r="E42" s="16">
        <v>938</v>
      </c>
      <c r="F42" s="11">
        <v>16</v>
      </c>
    </row>
    <row r="43" spans="1:6" x14ac:dyDescent="0.25">
      <c r="A43" s="9" t="s">
        <v>1126</v>
      </c>
      <c r="B43" s="9" t="s">
        <v>1121</v>
      </c>
      <c r="C43" s="9" t="s">
        <v>1146</v>
      </c>
      <c r="D43" s="10">
        <v>44666</v>
      </c>
      <c r="E43" s="16">
        <v>14.749000000000001</v>
      </c>
      <c r="F43" s="11">
        <v>354</v>
      </c>
    </row>
    <row r="44" spans="1:6" x14ac:dyDescent="0.25">
      <c r="A44" s="9" t="s">
        <v>1123</v>
      </c>
      <c r="B44" s="9" t="s">
        <v>1124</v>
      </c>
      <c r="C44" s="9" t="s">
        <v>1147</v>
      </c>
      <c r="D44" s="10">
        <v>44753</v>
      </c>
      <c r="E44" s="16">
        <v>4.7809999999999997</v>
      </c>
      <c r="F44" s="11">
        <v>241</v>
      </c>
    </row>
    <row r="45" spans="1:6" x14ac:dyDescent="0.25">
      <c r="A45" s="9" t="s">
        <v>1143</v>
      </c>
      <c r="B45" s="9" t="s">
        <v>1105</v>
      </c>
      <c r="C45" s="9" t="s">
        <v>1134</v>
      </c>
      <c r="D45" s="10">
        <v>44615</v>
      </c>
      <c r="E45" s="16">
        <v>6.3070000000000004</v>
      </c>
      <c r="F45" s="11">
        <v>142</v>
      </c>
    </row>
    <row r="46" spans="1:6" x14ac:dyDescent="0.25">
      <c r="A46" s="9" t="s">
        <v>1148</v>
      </c>
      <c r="B46" s="9" t="s">
        <v>1124</v>
      </c>
      <c r="C46" s="9" t="s">
        <v>1142</v>
      </c>
      <c r="D46" s="10">
        <v>44795</v>
      </c>
      <c r="E46" s="16">
        <v>7.6020000000000003</v>
      </c>
      <c r="F46" s="11">
        <v>102</v>
      </c>
    </row>
    <row r="47" spans="1:6" x14ac:dyDescent="0.25">
      <c r="A47" s="9" t="s">
        <v>1136</v>
      </c>
      <c r="B47" s="9" t="s">
        <v>1121</v>
      </c>
      <c r="C47" s="9" t="s">
        <v>1108</v>
      </c>
      <c r="D47" s="10">
        <v>44608</v>
      </c>
      <c r="E47" s="16">
        <v>6.79</v>
      </c>
      <c r="F47" s="11">
        <v>188</v>
      </c>
    </row>
    <row r="48" spans="1:6" x14ac:dyDescent="0.25">
      <c r="A48" s="9" t="s">
        <v>1104</v>
      </c>
      <c r="B48" s="9" t="s">
        <v>1121</v>
      </c>
      <c r="C48" s="9" t="s">
        <v>1117</v>
      </c>
      <c r="D48" s="10">
        <v>44574</v>
      </c>
      <c r="E48" s="16">
        <v>9.7370000000000001</v>
      </c>
      <c r="F48" s="11">
        <v>160</v>
      </c>
    </row>
    <row r="49" spans="1:6" x14ac:dyDescent="0.25">
      <c r="A49" s="9" t="s">
        <v>1133</v>
      </c>
      <c r="B49" s="9" t="s">
        <v>1110</v>
      </c>
      <c r="C49" s="9" t="s">
        <v>1132</v>
      </c>
      <c r="D49" s="10">
        <v>44606</v>
      </c>
      <c r="E49" s="16">
        <v>6.9790000000000001</v>
      </c>
      <c r="F49" s="11">
        <v>18</v>
      </c>
    </row>
    <row r="50" spans="1:6" x14ac:dyDescent="0.25">
      <c r="A50" s="9" t="s">
        <v>1131</v>
      </c>
      <c r="B50" s="9" t="s">
        <v>1105</v>
      </c>
      <c r="C50" s="9" t="s">
        <v>1125</v>
      </c>
      <c r="D50" s="10">
        <v>44722</v>
      </c>
      <c r="E50" s="16">
        <v>4.3819999999999997</v>
      </c>
      <c r="F50" s="11">
        <v>303</v>
      </c>
    </row>
    <row r="51" spans="1:6" x14ac:dyDescent="0.25">
      <c r="A51" s="9" t="s">
        <v>1133</v>
      </c>
      <c r="B51" s="9" t="s">
        <v>1105</v>
      </c>
      <c r="C51" s="9" t="s">
        <v>1137</v>
      </c>
      <c r="D51" s="10">
        <v>44749</v>
      </c>
      <c r="E51" s="16">
        <v>5.2430000000000003</v>
      </c>
      <c r="F51" s="11">
        <v>176</v>
      </c>
    </row>
    <row r="52" spans="1:6" x14ac:dyDescent="0.25">
      <c r="A52" s="9" t="s">
        <v>1133</v>
      </c>
      <c r="B52" s="9" t="s">
        <v>1124</v>
      </c>
      <c r="C52" s="9" t="s">
        <v>1142</v>
      </c>
      <c r="D52" s="10">
        <v>44644</v>
      </c>
      <c r="E52" s="16">
        <v>4.8650000000000002</v>
      </c>
      <c r="F52" s="11">
        <v>70</v>
      </c>
    </row>
    <row r="53" spans="1:6" x14ac:dyDescent="0.25">
      <c r="A53" s="9" t="s">
        <v>1118</v>
      </c>
      <c r="B53" s="9" t="s">
        <v>1110</v>
      </c>
      <c r="C53" s="9" t="s">
        <v>1137</v>
      </c>
      <c r="D53" s="10">
        <v>44718</v>
      </c>
      <c r="E53" s="16">
        <v>8.5749999999999993</v>
      </c>
      <c r="F53" s="11">
        <v>23</v>
      </c>
    </row>
    <row r="54" spans="1:6" x14ac:dyDescent="0.25">
      <c r="A54" s="9" t="s">
        <v>1149</v>
      </c>
      <c r="B54" s="9" t="s">
        <v>1110</v>
      </c>
      <c r="C54" s="9" t="s">
        <v>1127</v>
      </c>
      <c r="D54" s="10">
        <v>44761</v>
      </c>
      <c r="E54" s="16">
        <v>91</v>
      </c>
      <c r="F54" s="11">
        <v>135</v>
      </c>
    </row>
    <row r="55" spans="1:6" x14ac:dyDescent="0.25">
      <c r="A55" s="9" t="s">
        <v>1129</v>
      </c>
      <c r="B55" s="9" t="s">
        <v>1121</v>
      </c>
      <c r="C55" s="9" t="s">
        <v>1146</v>
      </c>
      <c r="D55" s="10">
        <v>44670</v>
      </c>
      <c r="E55" s="16">
        <v>14.798</v>
      </c>
      <c r="F55" s="11">
        <v>83</v>
      </c>
    </row>
    <row r="56" spans="1:6" x14ac:dyDescent="0.25">
      <c r="A56" s="9" t="s">
        <v>1128</v>
      </c>
      <c r="B56" s="9" t="s">
        <v>1105</v>
      </c>
      <c r="C56" s="9" t="s">
        <v>1106</v>
      </c>
      <c r="D56" s="10">
        <v>44761</v>
      </c>
      <c r="E56" s="16">
        <v>2.2050000000000001</v>
      </c>
      <c r="F56" s="11">
        <v>179</v>
      </c>
    </row>
    <row r="57" spans="1:6" x14ac:dyDescent="0.25">
      <c r="A57" s="9" t="s">
        <v>1101</v>
      </c>
      <c r="B57" s="9" t="s">
        <v>1124</v>
      </c>
      <c r="C57" s="9" t="s">
        <v>1127</v>
      </c>
      <c r="D57" s="10">
        <v>44757</v>
      </c>
      <c r="E57" s="16">
        <v>441</v>
      </c>
      <c r="F57" s="11">
        <v>24</v>
      </c>
    </row>
    <row r="58" spans="1:6" x14ac:dyDescent="0.25">
      <c r="A58" s="9" t="s">
        <v>1150</v>
      </c>
      <c r="B58" s="9" t="s">
        <v>1116</v>
      </c>
      <c r="C58" s="9" t="s">
        <v>1134</v>
      </c>
      <c r="D58" s="10">
        <v>44606</v>
      </c>
      <c r="E58" s="16">
        <v>3.556</v>
      </c>
      <c r="F58" s="11">
        <v>18</v>
      </c>
    </row>
    <row r="59" spans="1:6" x14ac:dyDescent="0.25">
      <c r="A59" s="9" t="s">
        <v>1118</v>
      </c>
      <c r="B59" s="9" t="s">
        <v>1124</v>
      </c>
      <c r="C59" s="9" t="s">
        <v>1113</v>
      </c>
      <c r="D59" s="10">
        <v>44699</v>
      </c>
      <c r="E59" s="16">
        <v>16.792999999999999</v>
      </c>
      <c r="F59" s="11">
        <v>416</v>
      </c>
    </row>
    <row r="60" spans="1:6" x14ac:dyDescent="0.25">
      <c r="A60" s="9" t="s">
        <v>1120</v>
      </c>
      <c r="B60" s="9" t="s">
        <v>1110</v>
      </c>
      <c r="C60" s="9" t="s">
        <v>1137</v>
      </c>
      <c r="D60" s="10">
        <v>44742</v>
      </c>
      <c r="E60" s="16">
        <v>15.420999999999999</v>
      </c>
      <c r="F60" s="11">
        <v>55</v>
      </c>
    </row>
    <row r="61" spans="1:6" x14ac:dyDescent="0.25">
      <c r="A61" s="9" t="s">
        <v>1143</v>
      </c>
      <c r="B61" s="9" t="s">
        <v>1110</v>
      </c>
      <c r="C61" s="9" t="s">
        <v>1117</v>
      </c>
      <c r="D61" s="10">
        <v>44714</v>
      </c>
      <c r="E61" s="16">
        <v>4.4379999999999997</v>
      </c>
      <c r="F61" s="11">
        <v>227</v>
      </c>
    </row>
    <row r="62" spans="1:6" x14ac:dyDescent="0.25">
      <c r="A62" s="9" t="s">
        <v>1143</v>
      </c>
      <c r="B62" s="9" t="s">
        <v>1110</v>
      </c>
      <c r="C62" s="9" t="s">
        <v>1127</v>
      </c>
      <c r="D62" s="10">
        <v>44740</v>
      </c>
      <c r="E62" s="16">
        <v>1.603</v>
      </c>
      <c r="F62" s="11">
        <v>48</v>
      </c>
    </row>
    <row r="63" spans="1:6" x14ac:dyDescent="0.25">
      <c r="A63" s="9" t="s">
        <v>1128</v>
      </c>
      <c r="B63" s="9" t="s">
        <v>1110</v>
      </c>
      <c r="C63" s="9" t="s">
        <v>1130</v>
      </c>
      <c r="D63" s="10">
        <v>44697</v>
      </c>
      <c r="E63" s="16">
        <v>273</v>
      </c>
      <c r="F63" s="11">
        <v>174</v>
      </c>
    </row>
    <row r="64" spans="1:6" x14ac:dyDescent="0.25">
      <c r="A64" s="9" t="s">
        <v>1144</v>
      </c>
      <c r="B64" s="9" t="s">
        <v>1124</v>
      </c>
      <c r="C64" s="9" t="s">
        <v>1151</v>
      </c>
      <c r="D64" s="10">
        <v>44707</v>
      </c>
      <c r="E64" s="16">
        <v>3.073</v>
      </c>
      <c r="F64" s="11">
        <v>302</v>
      </c>
    </row>
    <row r="65" spans="1:6" x14ac:dyDescent="0.25">
      <c r="A65" s="9" t="s">
        <v>1126</v>
      </c>
      <c r="B65" s="9" t="s">
        <v>1105</v>
      </c>
      <c r="C65" s="9" t="s">
        <v>1142</v>
      </c>
      <c r="D65" s="10">
        <v>44748</v>
      </c>
      <c r="E65" s="16">
        <v>6.09</v>
      </c>
      <c r="F65" s="11">
        <v>149</v>
      </c>
    </row>
    <row r="66" spans="1:6" x14ac:dyDescent="0.25">
      <c r="A66" s="9" t="s">
        <v>1112</v>
      </c>
      <c r="B66" s="9" t="s">
        <v>1105</v>
      </c>
      <c r="C66" s="9" t="s">
        <v>1113</v>
      </c>
      <c r="D66" s="10">
        <v>44708</v>
      </c>
      <c r="E66" s="16">
        <v>10.255000000000001</v>
      </c>
      <c r="F66" s="11">
        <v>11</v>
      </c>
    </row>
    <row r="67" spans="1:6" x14ac:dyDescent="0.25">
      <c r="A67" s="9" t="s">
        <v>1141</v>
      </c>
      <c r="B67" s="9" t="s">
        <v>1110</v>
      </c>
      <c r="C67" s="9" t="s">
        <v>1152</v>
      </c>
      <c r="D67" s="10">
        <v>44665</v>
      </c>
      <c r="E67" s="16">
        <v>2.0299999999999998</v>
      </c>
      <c r="F67" s="11">
        <v>11</v>
      </c>
    </row>
    <row r="68" spans="1:6" x14ac:dyDescent="0.25">
      <c r="A68" s="9" t="s">
        <v>1104</v>
      </c>
      <c r="B68" s="9" t="s">
        <v>1110</v>
      </c>
      <c r="C68" s="9" t="s">
        <v>1130</v>
      </c>
      <c r="D68" s="10">
        <v>44783</v>
      </c>
      <c r="E68" s="16">
        <v>19.452999999999999</v>
      </c>
      <c r="F68" s="11">
        <v>14</v>
      </c>
    </row>
    <row r="69" spans="1:6" x14ac:dyDescent="0.25">
      <c r="A69" s="9" t="s">
        <v>1145</v>
      </c>
      <c r="B69" s="9" t="s">
        <v>1105</v>
      </c>
      <c r="C69" s="9" t="s">
        <v>1117</v>
      </c>
      <c r="D69" s="10">
        <v>44746</v>
      </c>
      <c r="E69" s="16">
        <v>9.2750000000000004</v>
      </c>
      <c r="F69" s="11">
        <v>411</v>
      </c>
    </row>
    <row r="70" spans="1:6" x14ac:dyDescent="0.25">
      <c r="A70" s="9" t="s">
        <v>1112</v>
      </c>
      <c r="B70" s="9" t="s">
        <v>1105</v>
      </c>
      <c r="C70" s="9" t="s">
        <v>1130</v>
      </c>
      <c r="D70" s="10">
        <v>44750</v>
      </c>
      <c r="E70" s="16">
        <v>6.181</v>
      </c>
      <c r="F70" s="11">
        <v>56</v>
      </c>
    </row>
    <row r="71" spans="1:6" x14ac:dyDescent="0.25">
      <c r="A71" s="9" t="s">
        <v>1109</v>
      </c>
      <c r="B71" s="9" t="s">
        <v>1121</v>
      </c>
      <c r="C71" s="9" t="s">
        <v>1108</v>
      </c>
      <c r="D71" s="10">
        <v>44764</v>
      </c>
      <c r="E71" s="16">
        <v>9.0370000000000008</v>
      </c>
      <c r="F71" s="11">
        <v>102</v>
      </c>
    </row>
    <row r="72" spans="1:6" x14ac:dyDescent="0.25">
      <c r="A72" s="9" t="s">
        <v>1107</v>
      </c>
      <c r="B72" s="9" t="s">
        <v>1121</v>
      </c>
      <c r="C72" s="9" t="s">
        <v>1147</v>
      </c>
      <c r="D72" s="10">
        <v>44622</v>
      </c>
      <c r="E72" s="16">
        <v>12.313000000000001</v>
      </c>
      <c r="F72" s="11">
        <v>103</v>
      </c>
    </row>
    <row r="73" spans="1:6" x14ac:dyDescent="0.25">
      <c r="A73" s="9" t="s">
        <v>1107</v>
      </c>
      <c r="B73" s="9" t="s">
        <v>1102</v>
      </c>
      <c r="C73" s="9" t="s">
        <v>1142</v>
      </c>
      <c r="D73" s="10">
        <v>44571</v>
      </c>
      <c r="E73" s="16">
        <v>5.6420000000000003</v>
      </c>
      <c r="F73" s="11">
        <v>9</v>
      </c>
    </row>
    <row r="74" spans="1:6" x14ac:dyDescent="0.25">
      <c r="A74" s="9" t="s">
        <v>1101</v>
      </c>
      <c r="B74" s="9" t="s">
        <v>1116</v>
      </c>
      <c r="C74" s="9" t="s">
        <v>1139</v>
      </c>
      <c r="D74" s="10">
        <v>44631</v>
      </c>
      <c r="E74" s="16">
        <v>2.8</v>
      </c>
      <c r="F74" s="11">
        <v>241</v>
      </c>
    </row>
    <row r="75" spans="1:6" x14ac:dyDescent="0.25">
      <c r="A75" s="9" t="s">
        <v>1143</v>
      </c>
      <c r="B75" s="9" t="s">
        <v>1116</v>
      </c>
      <c r="C75" s="9" t="s">
        <v>1108</v>
      </c>
      <c r="D75" s="10">
        <v>44732</v>
      </c>
      <c r="E75" s="16">
        <v>959</v>
      </c>
      <c r="F75" s="11">
        <v>265</v>
      </c>
    </row>
    <row r="76" spans="1:6" x14ac:dyDescent="0.25">
      <c r="A76" s="9" t="s">
        <v>1104</v>
      </c>
      <c r="B76" s="9" t="s">
        <v>1102</v>
      </c>
      <c r="C76" s="9" t="s">
        <v>1130</v>
      </c>
      <c r="D76" s="10">
        <v>44799</v>
      </c>
      <c r="E76" s="16">
        <v>2.0019999999999998</v>
      </c>
      <c r="F76" s="11">
        <v>214</v>
      </c>
    </row>
    <row r="77" spans="1:6" x14ac:dyDescent="0.25">
      <c r="A77" s="9" t="s">
        <v>1131</v>
      </c>
      <c r="B77" s="9" t="s">
        <v>1124</v>
      </c>
      <c r="C77" s="9" t="s">
        <v>1132</v>
      </c>
      <c r="D77" s="10">
        <v>44755</v>
      </c>
      <c r="E77" s="16">
        <v>609</v>
      </c>
      <c r="F77" s="11">
        <v>32</v>
      </c>
    </row>
    <row r="78" spans="1:6" x14ac:dyDescent="0.25">
      <c r="A78" s="9" t="s">
        <v>1145</v>
      </c>
      <c r="B78" s="9" t="s">
        <v>1121</v>
      </c>
      <c r="C78" s="9" t="s">
        <v>1134</v>
      </c>
      <c r="D78" s="10">
        <v>44603</v>
      </c>
      <c r="E78" s="16">
        <v>1.274</v>
      </c>
      <c r="F78" s="11">
        <v>244</v>
      </c>
    </row>
    <row r="79" spans="1:6" x14ac:dyDescent="0.25">
      <c r="A79" s="9" t="s">
        <v>1128</v>
      </c>
      <c r="B79" s="9" t="s">
        <v>1121</v>
      </c>
      <c r="C79" s="9" t="s">
        <v>1122</v>
      </c>
      <c r="D79" s="10">
        <v>44588</v>
      </c>
      <c r="E79" s="16">
        <v>7.5949999999999998</v>
      </c>
      <c r="F79" s="11">
        <v>181</v>
      </c>
    </row>
    <row r="80" spans="1:6" x14ac:dyDescent="0.25">
      <c r="A80" s="9" t="s">
        <v>1104</v>
      </c>
      <c r="B80" s="9" t="s">
        <v>1102</v>
      </c>
      <c r="C80" s="9" t="s">
        <v>1113</v>
      </c>
      <c r="D80" s="10">
        <v>44592</v>
      </c>
      <c r="E80" s="16">
        <v>4.7249999999999996</v>
      </c>
      <c r="F80" s="11">
        <v>137</v>
      </c>
    </row>
    <row r="81" spans="1:6" x14ac:dyDescent="0.25">
      <c r="A81" s="9" t="s">
        <v>1145</v>
      </c>
      <c r="B81" s="9" t="s">
        <v>1121</v>
      </c>
      <c r="C81" s="9" t="s">
        <v>1139</v>
      </c>
      <c r="D81" s="10">
        <v>44791</v>
      </c>
      <c r="E81" s="16">
        <v>9.6809999999999992</v>
      </c>
      <c r="F81" s="11">
        <v>24</v>
      </c>
    </row>
    <row r="82" spans="1:6" x14ac:dyDescent="0.25">
      <c r="A82" s="9" t="s">
        <v>1143</v>
      </c>
      <c r="B82" s="9" t="s">
        <v>1121</v>
      </c>
      <c r="C82" s="9" t="s">
        <v>1146</v>
      </c>
      <c r="D82" s="10">
        <v>44742</v>
      </c>
      <c r="E82" s="16">
        <v>14.504</v>
      </c>
      <c r="F82" s="11">
        <v>21</v>
      </c>
    </row>
    <row r="83" spans="1:6" x14ac:dyDescent="0.25">
      <c r="A83" s="9" t="s">
        <v>1149</v>
      </c>
      <c r="B83" s="9" t="s">
        <v>1110</v>
      </c>
      <c r="C83" s="9" t="s">
        <v>1137</v>
      </c>
      <c r="D83" s="10">
        <v>44796</v>
      </c>
      <c r="E83" s="16">
        <v>280</v>
      </c>
      <c r="F83" s="11">
        <v>311</v>
      </c>
    </row>
    <row r="84" spans="1:6" x14ac:dyDescent="0.25">
      <c r="A84" s="9" t="s">
        <v>1118</v>
      </c>
      <c r="B84" s="9" t="s">
        <v>1116</v>
      </c>
      <c r="C84" s="9" t="s">
        <v>1103</v>
      </c>
      <c r="D84" s="10">
        <v>44774</v>
      </c>
      <c r="E84" s="16">
        <v>63</v>
      </c>
      <c r="F84" s="11">
        <v>181</v>
      </c>
    </row>
    <row r="85" spans="1:6" x14ac:dyDescent="0.25">
      <c r="A85" s="9" t="s">
        <v>1131</v>
      </c>
      <c r="B85" s="9" t="s">
        <v>1116</v>
      </c>
      <c r="C85" s="9" t="s">
        <v>1115</v>
      </c>
      <c r="D85" s="10">
        <v>44706</v>
      </c>
      <c r="E85" s="16">
        <v>8.0009999999999994</v>
      </c>
      <c r="F85" s="11">
        <v>10</v>
      </c>
    </row>
    <row r="86" spans="1:6" x14ac:dyDescent="0.25">
      <c r="A86" s="9" t="s">
        <v>1131</v>
      </c>
      <c r="B86" s="9" t="s">
        <v>1124</v>
      </c>
      <c r="C86" s="9" t="s">
        <v>1130</v>
      </c>
      <c r="D86" s="10">
        <v>44571</v>
      </c>
      <c r="E86" s="16">
        <v>4.032</v>
      </c>
      <c r="F86" s="11">
        <v>82</v>
      </c>
    </row>
    <row r="87" spans="1:6" x14ac:dyDescent="0.25">
      <c r="A87" s="9" t="s">
        <v>1138</v>
      </c>
      <c r="B87" s="9" t="s">
        <v>1110</v>
      </c>
      <c r="C87" s="9" t="s">
        <v>1153</v>
      </c>
      <c r="D87" s="10">
        <v>44599</v>
      </c>
      <c r="E87" s="16">
        <v>5.859</v>
      </c>
      <c r="F87" s="11">
        <v>108</v>
      </c>
    </row>
    <row r="88" spans="1:6" x14ac:dyDescent="0.25">
      <c r="A88" s="9" t="s">
        <v>1126</v>
      </c>
      <c r="B88" s="9" t="s">
        <v>1121</v>
      </c>
      <c r="C88" s="9" t="s">
        <v>1122</v>
      </c>
      <c r="D88" s="10">
        <v>44693</v>
      </c>
      <c r="E88" s="16">
        <v>11.095000000000001</v>
      </c>
      <c r="F88" s="11">
        <v>401</v>
      </c>
    </row>
    <row r="89" spans="1:6" x14ac:dyDescent="0.25">
      <c r="A89" s="9" t="s">
        <v>1148</v>
      </c>
      <c r="B89" s="9" t="s">
        <v>1110</v>
      </c>
      <c r="C89" s="9" t="s">
        <v>1134</v>
      </c>
      <c r="D89" s="10">
        <v>44627</v>
      </c>
      <c r="E89" s="16">
        <v>7.1820000000000004</v>
      </c>
      <c r="F89" s="11">
        <v>408</v>
      </c>
    </row>
    <row r="90" spans="1:6" x14ac:dyDescent="0.25">
      <c r="A90" s="9" t="s">
        <v>1138</v>
      </c>
      <c r="B90" s="9" t="s">
        <v>1110</v>
      </c>
      <c r="C90" s="9" t="s">
        <v>1106</v>
      </c>
      <c r="D90" s="10">
        <v>44656</v>
      </c>
      <c r="E90" s="16">
        <v>6.8810000000000002</v>
      </c>
      <c r="F90" s="11">
        <v>420</v>
      </c>
    </row>
    <row r="91" spans="1:6" x14ac:dyDescent="0.25">
      <c r="A91" s="9" t="s">
        <v>1143</v>
      </c>
      <c r="B91" s="9" t="s">
        <v>1124</v>
      </c>
      <c r="C91" s="9" t="s">
        <v>1152</v>
      </c>
      <c r="D91" s="10">
        <v>44564</v>
      </c>
      <c r="E91" s="16">
        <v>7.1539999999999999</v>
      </c>
      <c r="F91" s="11">
        <v>348</v>
      </c>
    </row>
    <row r="92" spans="1:6" x14ac:dyDescent="0.25">
      <c r="A92" s="9" t="s">
        <v>1138</v>
      </c>
      <c r="B92" s="9" t="s">
        <v>1102</v>
      </c>
      <c r="C92" s="9" t="s">
        <v>1125</v>
      </c>
      <c r="D92" s="10">
        <v>44644</v>
      </c>
      <c r="E92" s="16">
        <v>6.1879999999999997</v>
      </c>
      <c r="F92" s="11">
        <v>270</v>
      </c>
    </row>
    <row r="93" spans="1:6" x14ac:dyDescent="0.25">
      <c r="A93" s="9" t="s">
        <v>1148</v>
      </c>
      <c r="B93" s="9" t="s">
        <v>1105</v>
      </c>
      <c r="C93" s="9" t="s">
        <v>1146</v>
      </c>
      <c r="D93" s="10">
        <v>44749</v>
      </c>
      <c r="E93" s="16">
        <v>4.2210000000000001</v>
      </c>
      <c r="F93" s="11">
        <v>9</v>
      </c>
    </row>
    <row r="94" spans="1:6" x14ac:dyDescent="0.25">
      <c r="A94" s="9" t="s">
        <v>1104</v>
      </c>
      <c r="B94" s="9" t="s">
        <v>1121</v>
      </c>
      <c r="C94" s="9" t="s">
        <v>1115</v>
      </c>
      <c r="D94" s="10">
        <v>44768</v>
      </c>
      <c r="E94" s="16">
        <v>630</v>
      </c>
      <c r="F94" s="11">
        <v>264</v>
      </c>
    </row>
    <row r="95" spans="1:6" x14ac:dyDescent="0.25">
      <c r="A95" s="9" t="s">
        <v>1141</v>
      </c>
      <c r="B95" s="9" t="s">
        <v>1110</v>
      </c>
      <c r="C95" s="9" t="s">
        <v>1130</v>
      </c>
      <c r="D95" s="10">
        <v>44749</v>
      </c>
      <c r="E95" s="16">
        <v>1.7430000000000001</v>
      </c>
      <c r="F95" s="11">
        <v>111</v>
      </c>
    </row>
    <row r="96" spans="1:6" x14ac:dyDescent="0.25">
      <c r="A96" s="9" t="s">
        <v>1126</v>
      </c>
      <c r="B96" s="9" t="s">
        <v>1124</v>
      </c>
      <c r="C96" s="9" t="s">
        <v>1117</v>
      </c>
      <c r="D96" s="10">
        <v>44757</v>
      </c>
      <c r="E96" s="16">
        <v>2.919</v>
      </c>
      <c r="F96" s="11">
        <v>65</v>
      </c>
    </row>
    <row r="97" spans="1:6" x14ac:dyDescent="0.25">
      <c r="A97" s="9" t="s">
        <v>1131</v>
      </c>
      <c r="B97" s="9" t="s">
        <v>1116</v>
      </c>
      <c r="C97" s="9" t="s">
        <v>1122</v>
      </c>
      <c r="D97" s="10">
        <v>44652</v>
      </c>
      <c r="E97" s="16">
        <v>49</v>
      </c>
      <c r="F97" s="11">
        <v>97</v>
      </c>
    </row>
    <row r="98" spans="1:6" x14ac:dyDescent="0.25">
      <c r="A98" s="9" t="s">
        <v>1129</v>
      </c>
      <c r="B98" s="9" t="s">
        <v>1110</v>
      </c>
      <c r="C98" s="9" t="s">
        <v>1125</v>
      </c>
      <c r="D98" s="10">
        <v>44732</v>
      </c>
      <c r="E98" s="16">
        <v>1.827</v>
      </c>
      <c r="F98" s="11">
        <v>6</v>
      </c>
    </row>
    <row r="99" spans="1:6" x14ac:dyDescent="0.25">
      <c r="A99" s="9" t="s">
        <v>1144</v>
      </c>
      <c r="B99" s="9" t="s">
        <v>1102</v>
      </c>
      <c r="C99" s="9" t="s">
        <v>1137</v>
      </c>
      <c r="D99" s="10">
        <v>44741</v>
      </c>
      <c r="E99" s="16">
        <v>13.006</v>
      </c>
      <c r="F99" s="11">
        <v>482</v>
      </c>
    </row>
    <row r="100" spans="1:6" x14ac:dyDescent="0.25">
      <c r="A100" s="9" t="s">
        <v>1128</v>
      </c>
      <c r="B100" s="9" t="s">
        <v>1121</v>
      </c>
      <c r="C100" s="9" t="s">
        <v>1117</v>
      </c>
      <c r="D100" s="10">
        <v>44727</v>
      </c>
      <c r="E100" s="16">
        <v>1.0640000000000001</v>
      </c>
      <c r="F100" s="11">
        <v>106</v>
      </c>
    </row>
    <row r="101" spans="1:6" x14ac:dyDescent="0.25">
      <c r="A101" s="9" t="s">
        <v>1135</v>
      </c>
      <c r="B101" s="9" t="s">
        <v>1121</v>
      </c>
      <c r="C101" s="9" t="s">
        <v>1115</v>
      </c>
      <c r="D101" s="10">
        <v>44659</v>
      </c>
      <c r="E101" s="16">
        <v>11.571</v>
      </c>
      <c r="F101" s="11">
        <v>180</v>
      </c>
    </row>
    <row r="102" spans="1:6" x14ac:dyDescent="0.25">
      <c r="A102" s="9" t="s">
        <v>1138</v>
      </c>
      <c r="B102" s="9" t="s">
        <v>1110</v>
      </c>
      <c r="C102" s="9" t="s">
        <v>1146</v>
      </c>
      <c r="D102" s="10">
        <v>44634</v>
      </c>
      <c r="E102" s="16">
        <v>5.74</v>
      </c>
      <c r="F102" s="11">
        <v>31</v>
      </c>
    </row>
    <row r="103" spans="1:6" x14ac:dyDescent="0.25">
      <c r="A103" s="9" t="s">
        <v>1143</v>
      </c>
      <c r="B103" s="9" t="s">
        <v>1121</v>
      </c>
      <c r="C103" s="9" t="s">
        <v>1137</v>
      </c>
      <c r="D103" s="10">
        <v>44757</v>
      </c>
      <c r="E103" s="16">
        <v>1.456</v>
      </c>
      <c r="F103" s="11">
        <v>359</v>
      </c>
    </row>
    <row r="104" spans="1:6" x14ac:dyDescent="0.25">
      <c r="A104" s="9" t="s">
        <v>1144</v>
      </c>
      <c r="B104" s="9" t="s">
        <v>1105</v>
      </c>
      <c r="C104" s="9" t="s">
        <v>1125</v>
      </c>
      <c r="D104" s="10">
        <v>44670</v>
      </c>
      <c r="E104" s="16">
        <v>5.3339999999999996</v>
      </c>
      <c r="F104" s="11">
        <v>80</v>
      </c>
    </row>
    <row r="105" spans="1:6" x14ac:dyDescent="0.25">
      <c r="A105" s="9" t="s">
        <v>1128</v>
      </c>
      <c r="B105" s="9" t="s">
        <v>1121</v>
      </c>
      <c r="C105" s="9" t="s">
        <v>1113</v>
      </c>
      <c r="D105" s="10">
        <v>44648</v>
      </c>
      <c r="E105" s="16">
        <v>4.1509999999999998</v>
      </c>
      <c r="F105" s="11">
        <v>296</v>
      </c>
    </row>
    <row r="106" spans="1:6" x14ac:dyDescent="0.25">
      <c r="A106" s="9" t="s">
        <v>1118</v>
      </c>
      <c r="B106" s="9" t="s">
        <v>1124</v>
      </c>
      <c r="C106" s="9" t="s">
        <v>1134</v>
      </c>
      <c r="D106" s="10">
        <v>44624</v>
      </c>
      <c r="E106" s="16">
        <v>8.1059999999999999</v>
      </c>
      <c r="F106" s="11">
        <v>101</v>
      </c>
    </row>
    <row r="107" spans="1:6" x14ac:dyDescent="0.25">
      <c r="A107" s="9" t="s">
        <v>1126</v>
      </c>
      <c r="B107" s="9" t="s">
        <v>1116</v>
      </c>
      <c r="C107" s="9" t="s">
        <v>1153</v>
      </c>
      <c r="D107" s="10">
        <v>44775</v>
      </c>
      <c r="E107" s="16">
        <v>126</v>
      </c>
      <c r="F107" s="11">
        <v>40</v>
      </c>
    </row>
    <row r="108" spans="1:6" x14ac:dyDescent="0.25">
      <c r="A108" s="9" t="s">
        <v>1135</v>
      </c>
      <c r="B108" s="9" t="s">
        <v>1102</v>
      </c>
      <c r="C108" s="9" t="s">
        <v>1134</v>
      </c>
      <c r="D108" s="10">
        <v>44798</v>
      </c>
      <c r="E108" s="16">
        <v>4.6970000000000001</v>
      </c>
      <c r="F108" s="11">
        <v>42</v>
      </c>
    </row>
    <row r="109" spans="1:6" x14ac:dyDescent="0.25">
      <c r="A109" s="9" t="s">
        <v>1128</v>
      </c>
      <c r="B109" s="9" t="s">
        <v>1121</v>
      </c>
      <c r="C109" s="9" t="s">
        <v>1142</v>
      </c>
      <c r="D109" s="10">
        <v>44617</v>
      </c>
      <c r="E109" s="16">
        <v>7.798</v>
      </c>
      <c r="F109" s="11">
        <v>167</v>
      </c>
    </row>
    <row r="110" spans="1:6" x14ac:dyDescent="0.25">
      <c r="A110" s="9" t="s">
        <v>1144</v>
      </c>
      <c r="B110" s="9" t="s">
        <v>1105</v>
      </c>
      <c r="C110" s="9" t="s">
        <v>1122</v>
      </c>
      <c r="D110" s="10">
        <v>44719</v>
      </c>
      <c r="E110" s="16">
        <v>9.4079999999999995</v>
      </c>
      <c r="F110" s="11">
        <v>138</v>
      </c>
    </row>
    <row r="111" spans="1:6" x14ac:dyDescent="0.25">
      <c r="A111" s="9" t="s">
        <v>1109</v>
      </c>
      <c r="B111" s="9" t="s">
        <v>1105</v>
      </c>
      <c r="C111" s="9" t="s">
        <v>1134</v>
      </c>
      <c r="D111" s="10">
        <v>44663</v>
      </c>
      <c r="E111" s="16">
        <v>1.9390000000000001</v>
      </c>
      <c r="F111" s="11">
        <v>520</v>
      </c>
    </row>
    <row r="112" spans="1:6" x14ac:dyDescent="0.25">
      <c r="A112" s="9" t="s">
        <v>1150</v>
      </c>
      <c r="B112" s="9" t="s">
        <v>1105</v>
      </c>
      <c r="C112" s="9" t="s">
        <v>1134</v>
      </c>
      <c r="D112" s="10">
        <v>44748</v>
      </c>
      <c r="E112" s="16">
        <v>10.906000000000001</v>
      </c>
      <c r="F112" s="11">
        <v>94</v>
      </c>
    </row>
    <row r="113" spans="1:6" x14ac:dyDescent="0.25">
      <c r="A113" s="9" t="s">
        <v>1144</v>
      </c>
      <c r="B113" s="9" t="s">
        <v>1102</v>
      </c>
      <c r="C113" s="9" t="s">
        <v>1111</v>
      </c>
      <c r="D113" s="10">
        <v>44580</v>
      </c>
      <c r="E113" s="16">
        <v>5.9290000000000003</v>
      </c>
      <c r="F113" s="11">
        <v>175</v>
      </c>
    </row>
    <row r="114" spans="1:6" x14ac:dyDescent="0.25">
      <c r="A114" s="9" t="s">
        <v>1148</v>
      </c>
      <c r="B114" s="9" t="s">
        <v>1110</v>
      </c>
      <c r="C114" s="9" t="s">
        <v>1137</v>
      </c>
      <c r="D114" s="10">
        <v>44566</v>
      </c>
      <c r="E114" s="16">
        <v>5.5789999999999997</v>
      </c>
      <c r="F114" s="11">
        <v>92</v>
      </c>
    </row>
    <row r="115" spans="1:6" x14ac:dyDescent="0.25">
      <c r="A115" s="9" t="s">
        <v>1148</v>
      </c>
      <c r="B115" s="9" t="s">
        <v>1124</v>
      </c>
      <c r="C115" s="9" t="s">
        <v>1153</v>
      </c>
      <c r="D115" s="10">
        <v>44585</v>
      </c>
      <c r="E115" s="16">
        <v>10.927</v>
      </c>
      <c r="F115" s="11">
        <v>141</v>
      </c>
    </row>
    <row r="116" spans="1:6" x14ac:dyDescent="0.25">
      <c r="A116" s="9" t="s">
        <v>1141</v>
      </c>
      <c r="B116" s="9" t="s">
        <v>1110</v>
      </c>
      <c r="C116" s="9" t="s">
        <v>1127</v>
      </c>
      <c r="D116" s="10">
        <v>44657</v>
      </c>
      <c r="E116" s="16">
        <v>623</v>
      </c>
      <c r="F116" s="11">
        <v>283</v>
      </c>
    </row>
    <row r="117" spans="1:6" x14ac:dyDescent="0.25">
      <c r="A117" s="9" t="s">
        <v>1114</v>
      </c>
      <c r="B117" s="9" t="s">
        <v>1110</v>
      </c>
      <c r="C117" s="9" t="s">
        <v>1137</v>
      </c>
      <c r="D117" s="10">
        <v>44727</v>
      </c>
      <c r="E117" s="16">
        <v>6.0129999999999999</v>
      </c>
      <c r="F117" s="11">
        <v>21</v>
      </c>
    </row>
    <row r="118" spans="1:6" x14ac:dyDescent="0.25">
      <c r="A118" s="9" t="s">
        <v>1107</v>
      </c>
      <c r="B118" s="9" t="s">
        <v>1124</v>
      </c>
      <c r="C118" s="9" t="s">
        <v>1151</v>
      </c>
      <c r="D118" s="10">
        <v>44589</v>
      </c>
      <c r="E118" s="16">
        <v>1.5049999999999999</v>
      </c>
      <c r="F118" s="11">
        <v>47</v>
      </c>
    </row>
    <row r="119" spans="1:6" x14ac:dyDescent="0.25">
      <c r="A119" s="9" t="s">
        <v>1144</v>
      </c>
      <c r="B119" s="9" t="s">
        <v>1105</v>
      </c>
      <c r="C119" s="9" t="s">
        <v>1152</v>
      </c>
      <c r="D119" s="10">
        <v>44636</v>
      </c>
      <c r="E119" s="16">
        <v>476</v>
      </c>
      <c r="F119" s="11">
        <v>125</v>
      </c>
    </row>
    <row r="120" spans="1:6" x14ac:dyDescent="0.25">
      <c r="A120" s="9" t="s">
        <v>1119</v>
      </c>
      <c r="B120" s="9" t="s">
        <v>1110</v>
      </c>
      <c r="C120" s="9" t="s">
        <v>1127</v>
      </c>
      <c r="D120" s="10">
        <v>44613</v>
      </c>
      <c r="E120" s="16">
        <v>11.55</v>
      </c>
      <c r="F120" s="11">
        <v>396</v>
      </c>
    </row>
    <row r="121" spans="1:6" x14ac:dyDescent="0.25">
      <c r="A121" s="9" t="s">
        <v>1144</v>
      </c>
      <c r="B121" s="9" t="s">
        <v>1121</v>
      </c>
      <c r="C121" s="9" t="s">
        <v>1140</v>
      </c>
      <c r="D121" s="10">
        <v>44608</v>
      </c>
      <c r="E121" s="16">
        <v>17.318000000000001</v>
      </c>
      <c r="F121" s="11">
        <v>87</v>
      </c>
    </row>
    <row r="122" spans="1:6" x14ac:dyDescent="0.25">
      <c r="A122" s="9" t="s">
        <v>1101</v>
      </c>
      <c r="B122" s="9" t="s">
        <v>1124</v>
      </c>
      <c r="C122" s="9" t="s">
        <v>1134</v>
      </c>
      <c r="D122" s="10">
        <v>44574</v>
      </c>
      <c r="E122" s="16">
        <v>1.8480000000000001</v>
      </c>
      <c r="F122" s="11">
        <v>27</v>
      </c>
    </row>
    <row r="123" spans="1:6" x14ac:dyDescent="0.25">
      <c r="A123" s="9" t="s">
        <v>1144</v>
      </c>
      <c r="B123" s="9" t="s">
        <v>1110</v>
      </c>
      <c r="C123" s="9" t="s">
        <v>1125</v>
      </c>
      <c r="D123" s="10">
        <v>44643</v>
      </c>
      <c r="E123" s="16">
        <v>7.2729999999999997</v>
      </c>
      <c r="F123" s="11">
        <v>547</v>
      </c>
    </row>
    <row r="124" spans="1:6" x14ac:dyDescent="0.25">
      <c r="A124" s="9" t="s">
        <v>1133</v>
      </c>
      <c r="B124" s="9" t="s">
        <v>1124</v>
      </c>
      <c r="C124" s="9" t="s">
        <v>1134</v>
      </c>
      <c r="D124" s="10">
        <v>44728</v>
      </c>
      <c r="E124" s="16">
        <v>854</v>
      </c>
      <c r="F124" s="11">
        <v>118</v>
      </c>
    </row>
    <row r="125" spans="1:6" x14ac:dyDescent="0.25">
      <c r="A125" s="9" t="s">
        <v>1112</v>
      </c>
      <c r="B125" s="9" t="s">
        <v>1105</v>
      </c>
      <c r="C125" s="9" t="s">
        <v>1146</v>
      </c>
      <c r="D125" s="10">
        <v>44665</v>
      </c>
      <c r="E125" s="16">
        <v>6.8319999999999999</v>
      </c>
      <c r="F125" s="11">
        <v>46</v>
      </c>
    </row>
    <row r="126" spans="1:6" x14ac:dyDescent="0.25">
      <c r="A126" s="9" t="s">
        <v>1144</v>
      </c>
      <c r="B126" s="9" t="s">
        <v>1102</v>
      </c>
      <c r="C126" s="9" t="s">
        <v>1125</v>
      </c>
      <c r="D126" s="10">
        <v>44586</v>
      </c>
      <c r="E126" s="16">
        <v>4.6059999999999999</v>
      </c>
      <c r="F126" s="11">
        <v>57</v>
      </c>
    </row>
    <row r="127" spans="1:6" x14ac:dyDescent="0.25">
      <c r="A127" s="9" t="s">
        <v>1109</v>
      </c>
      <c r="B127" s="9" t="s">
        <v>1105</v>
      </c>
      <c r="C127" s="9" t="s">
        <v>1142</v>
      </c>
      <c r="D127" s="10">
        <v>44631</v>
      </c>
      <c r="E127" s="16">
        <v>4.4660000000000002</v>
      </c>
      <c r="F127" s="11">
        <v>22</v>
      </c>
    </row>
    <row r="128" spans="1:6" x14ac:dyDescent="0.25">
      <c r="A128" s="9" t="s">
        <v>1149</v>
      </c>
      <c r="B128" s="9" t="s">
        <v>1102</v>
      </c>
      <c r="C128" s="9" t="s">
        <v>1142</v>
      </c>
      <c r="D128" s="10">
        <v>44770</v>
      </c>
      <c r="E128" s="16">
        <v>16.114000000000001</v>
      </c>
      <c r="F128" s="11">
        <v>96</v>
      </c>
    </row>
    <row r="129" spans="1:6" x14ac:dyDescent="0.25">
      <c r="A129" s="9" t="s">
        <v>1128</v>
      </c>
      <c r="B129" s="9" t="s">
        <v>1116</v>
      </c>
      <c r="C129" s="9" t="s">
        <v>1115</v>
      </c>
      <c r="D129" s="10">
        <v>44629</v>
      </c>
      <c r="E129" s="16">
        <v>1.5609999999999999</v>
      </c>
      <c r="F129" s="11">
        <v>44</v>
      </c>
    </row>
    <row r="130" spans="1:6" x14ac:dyDescent="0.25">
      <c r="A130" s="9" t="s">
        <v>1135</v>
      </c>
      <c r="B130" s="9" t="s">
        <v>1110</v>
      </c>
      <c r="C130" s="9" t="s">
        <v>1122</v>
      </c>
      <c r="D130" s="10">
        <v>44740</v>
      </c>
      <c r="E130" s="16">
        <v>8.8970000000000002</v>
      </c>
      <c r="F130" s="11">
        <v>188</v>
      </c>
    </row>
    <row r="131" spans="1:6" x14ac:dyDescent="0.25">
      <c r="A131" s="9" t="s">
        <v>1128</v>
      </c>
      <c r="B131" s="9" t="s">
        <v>1110</v>
      </c>
      <c r="C131" s="9" t="s">
        <v>1132</v>
      </c>
      <c r="D131" s="10">
        <v>44770</v>
      </c>
      <c r="E131" s="16">
        <v>2.464</v>
      </c>
      <c r="F131" s="11">
        <v>387</v>
      </c>
    </row>
    <row r="132" spans="1:6" x14ac:dyDescent="0.25">
      <c r="A132" s="9" t="s">
        <v>1144</v>
      </c>
      <c r="B132" s="9" t="s">
        <v>1124</v>
      </c>
      <c r="C132" s="9" t="s">
        <v>1113</v>
      </c>
      <c r="D132" s="10">
        <v>44788</v>
      </c>
      <c r="E132" s="16">
        <v>4.83</v>
      </c>
      <c r="F132" s="11">
        <v>50</v>
      </c>
    </row>
    <row r="133" spans="1:6" x14ac:dyDescent="0.25">
      <c r="A133" s="9" t="s">
        <v>1136</v>
      </c>
      <c r="B133" s="9" t="s">
        <v>1110</v>
      </c>
      <c r="C133" s="9" t="s">
        <v>1140</v>
      </c>
      <c r="D133" s="10">
        <v>44573</v>
      </c>
      <c r="E133" s="16">
        <v>2.7650000000000001</v>
      </c>
      <c r="F133" s="11">
        <v>264</v>
      </c>
    </row>
    <row r="134" spans="1:6" x14ac:dyDescent="0.25">
      <c r="A134" s="9" t="s">
        <v>1129</v>
      </c>
      <c r="B134" s="9" t="s">
        <v>1116</v>
      </c>
      <c r="C134" s="9" t="s">
        <v>1139</v>
      </c>
      <c r="D134" s="10">
        <v>44644</v>
      </c>
      <c r="E134" s="16">
        <v>7.1260000000000003</v>
      </c>
      <c r="F134" s="11">
        <v>7</v>
      </c>
    </row>
    <row r="135" spans="1:6" x14ac:dyDescent="0.25">
      <c r="A135" s="9" t="s">
        <v>1104</v>
      </c>
      <c r="B135" s="9" t="s">
        <v>1102</v>
      </c>
      <c r="C135" s="9" t="s">
        <v>1132</v>
      </c>
      <c r="D135" s="10">
        <v>44767</v>
      </c>
      <c r="E135" s="16">
        <v>4.2629999999999999</v>
      </c>
      <c r="F135" s="11">
        <v>90</v>
      </c>
    </row>
    <row r="136" spans="1:6" x14ac:dyDescent="0.25">
      <c r="A136" s="9" t="s">
        <v>1112</v>
      </c>
      <c r="B136" s="9" t="s">
        <v>1124</v>
      </c>
      <c r="C136" s="9" t="s">
        <v>1113</v>
      </c>
      <c r="D136" s="10">
        <v>44774</v>
      </c>
      <c r="E136" s="16">
        <v>3.605</v>
      </c>
      <c r="F136" s="11">
        <v>403</v>
      </c>
    </row>
    <row r="137" spans="1:6" x14ac:dyDescent="0.25">
      <c r="A137" s="9" t="s">
        <v>1104</v>
      </c>
      <c r="B137" s="9" t="s">
        <v>1105</v>
      </c>
      <c r="C137" s="9" t="s">
        <v>1130</v>
      </c>
      <c r="D137" s="10">
        <v>44697</v>
      </c>
      <c r="E137" s="16">
        <v>19.928999999999998</v>
      </c>
      <c r="F137" s="11">
        <v>174</v>
      </c>
    </row>
    <row r="138" spans="1:6" x14ac:dyDescent="0.25">
      <c r="A138" s="9" t="s">
        <v>1131</v>
      </c>
      <c r="B138" s="9" t="s">
        <v>1105</v>
      </c>
      <c r="C138" s="9" t="s">
        <v>1111</v>
      </c>
      <c r="D138" s="10">
        <v>44783</v>
      </c>
      <c r="E138" s="16">
        <v>5.1029999999999998</v>
      </c>
      <c r="F138" s="11">
        <v>140</v>
      </c>
    </row>
    <row r="139" spans="1:6" x14ac:dyDescent="0.25">
      <c r="A139" s="9" t="s">
        <v>1109</v>
      </c>
      <c r="B139" s="9" t="s">
        <v>1105</v>
      </c>
      <c r="C139" s="9" t="s">
        <v>1125</v>
      </c>
      <c r="D139" s="10">
        <v>44566</v>
      </c>
      <c r="E139" s="16">
        <v>2.5409999999999999</v>
      </c>
      <c r="F139" s="11">
        <v>27</v>
      </c>
    </row>
    <row r="140" spans="1:6" x14ac:dyDescent="0.25">
      <c r="A140" s="9" t="s">
        <v>1150</v>
      </c>
      <c r="B140" s="9" t="s">
        <v>1102</v>
      </c>
      <c r="C140" s="9" t="s">
        <v>1111</v>
      </c>
      <c r="D140" s="10">
        <v>44753</v>
      </c>
      <c r="E140" s="16">
        <v>5.6630000000000003</v>
      </c>
      <c r="F140" s="11">
        <v>110</v>
      </c>
    </row>
    <row r="141" spans="1:6" x14ac:dyDescent="0.25">
      <c r="A141" s="9" t="s">
        <v>1141</v>
      </c>
      <c r="B141" s="9" t="s">
        <v>1121</v>
      </c>
      <c r="C141" s="9" t="s">
        <v>1115</v>
      </c>
      <c r="D141" s="10">
        <v>44676</v>
      </c>
      <c r="E141" s="16">
        <v>392</v>
      </c>
      <c r="F141" s="11">
        <v>30</v>
      </c>
    </row>
    <row r="142" spans="1:6" x14ac:dyDescent="0.25">
      <c r="A142" s="9" t="s">
        <v>1107</v>
      </c>
      <c r="B142" s="9" t="s">
        <v>1116</v>
      </c>
      <c r="C142" s="9" t="s">
        <v>1137</v>
      </c>
      <c r="D142" s="10">
        <v>44655</v>
      </c>
      <c r="E142" s="16">
        <v>10.976000000000001</v>
      </c>
      <c r="F142" s="11">
        <v>121</v>
      </c>
    </row>
    <row r="143" spans="1:6" x14ac:dyDescent="0.25">
      <c r="A143" s="9" t="s">
        <v>1120</v>
      </c>
      <c r="B143" s="9" t="s">
        <v>1121</v>
      </c>
      <c r="C143" s="9" t="s">
        <v>1146</v>
      </c>
      <c r="D143" s="10">
        <v>44663</v>
      </c>
      <c r="E143" s="16">
        <v>9.282</v>
      </c>
      <c r="F143" s="11">
        <v>101</v>
      </c>
    </row>
    <row r="144" spans="1:6" x14ac:dyDescent="0.25">
      <c r="A144" s="9" t="s">
        <v>1141</v>
      </c>
      <c r="B144" s="9" t="s">
        <v>1116</v>
      </c>
      <c r="C144" s="9" t="s">
        <v>1106</v>
      </c>
      <c r="D144" s="10">
        <v>44775</v>
      </c>
      <c r="E144" s="16">
        <v>1.827</v>
      </c>
      <c r="F144" s="11">
        <v>117</v>
      </c>
    </row>
    <row r="145" spans="1:6" x14ac:dyDescent="0.25">
      <c r="A145" s="9" t="s">
        <v>1107</v>
      </c>
      <c r="B145" s="9" t="s">
        <v>1116</v>
      </c>
      <c r="C145" s="9" t="s">
        <v>1140</v>
      </c>
      <c r="D145" s="10">
        <v>44740</v>
      </c>
      <c r="E145" s="16">
        <v>8.2669999999999995</v>
      </c>
      <c r="F145" s="11">
        <v>272</v>
      </c>
    </row>
    <row r="146" spans="1:6" x14ac:dyDescent="0.25">
      <c r="A146" s="9" t="s">
        <v>1150</v>
      </c>
      <c r="B146" s="9" t="s">
        <v>1110</v>
      </c>
      <c r="C146" s="9" t="s">
        <v>1125</v>
      </c>
      <c r="D146" s="10">
        <v>44747</v>
      </c>
      <c r="E146" s="16">
        <v>4.1159999999999997</v>
      </c>
      <c r="F146" s="11">
        <v>128</v>
      </c>
    </row>
    <row r="147" spans="1:6" x14ac:dyDescent="0.25">
      <c r="A147" s="9" t="s">
        <v>1119</v>
      </c>
      <c r="B147" s="9" t="s">
        <v>1116</v>
      </c>
      <c r="C147" s="9" t="s">
        <v>1147</v>
      </c>
      <c r="D147" s="10">
        <v>44719</v>
      </c>
      <c r="E147" s="16">
        <v>2.093</v>
      </c>
      <c r="F147" s="11">
        <v>45</v>
      </c>
    </row>
    <row r="148" spans="1:6" x14ac:dyDescent="0.25">
      <c r="A148" s="9" t="s">
        <v>1118</v>
      </c>
      <c r="B148" s="9" t="s">
        <v>1116</v>
      </c>
      <c r="C148" s="9" t="s">
        <v>1111</v>
      </c>
      <c r="D148" s="10">
        <v>44579</v>
      </c>
      <c r="E148" s="16">
        <v>1.0149999999999999</v>
      </c>
      <c r="F148" s="11">
        <v>27</v>
      </c>
    </row>
    <row r="149" spans="1:6" x14ac:dyDescent="0.25">
      <c r="A149" s="9" t="s">
        <v>1118</v>
      </c>
      <c r="B149" s="9" t="s">
        <v>1110</v>
      </c>
      <c r="C149" s="9" t="s">
        <v>1151</v>
      </c>
      <c r="D149" s="10">
        <v>44565</v>
      </c>
      <c r="E149" s="16">
        <v>12.516</v>
      </c>
      <c r="F149" s="11">
        <v>212</v>
      </c>
    </row>
    <row r="150" spans="1:6" x14ac:dyDescent="0.25">
      <c r="A150" s="9" t="s">
        <v>1138</v>
      </c>
      <c r="B150" s="9" t="s">
        <v>1110</v>
      </c>
      <c r="C150" s="9" t="s">
        <v>1113</v>
      </c>
      <c r="D150" s="10">
        <v>44592</v>
      </c>
      <c r="E150" s="16">
        <v>2.758</v>
      </c>
      <c r="F150" s="11">
        <v>18</v>
      </c>
    </row>
    <row r="151" spans="1:6" x14ac:dyDescent="0.25">
      <c r="A151" s="9" t="s">
        <v>1144</v>
      </c>
      <c r="B151" s="9" t="s">
        <v>1105</v>
      </c>
      <c r="C151" s="9" t="s">
        <v>1142</v>
      </c>
      <c r="D151" s="10">
        <v>44634</v>
      </c>
      <c r="E151" s="16">
        <v>3.2970000000000002</v>
      </c>
      <c r="F151" s="11">
        <v>149</v>
      </c>
    </row>
    <row r="152" spans="1:6" x14ac:dyDescent="0.25">
      <c r="A152" s="9" t="s">
        <v>1145</v>
      </c>
      <c r="B152" s="9" t="s">
        <v>1110</v>
      </c>
      <c r="C152" s="9" t="s">
        <v>1153</v>
      </c>
      <c r="D152" s="10">
        <v>44680</v>
      </c>
      <c r="E152" s="16">
        <v>6.048</v>
      </c>
      <c r="F152" s="11">
        <v>477</v>
      </c>
    </row>
    <row r="153" spans="1:6" x14ac:dyDescent="0.25">
      <c r="A153" s="9" t="s">
        <v>1112</v>
      </c>
      <c r="B153" s="9" t="s">
        <v>1105</v>
      </c>
      <c r="C153" s="9" t="s">
        <v>1111</v>
      </c>
      <c r="D153" s="10">
        <v>44599</v>
      </c>
      <c r="E153" s="16">
        <v>10.101000000000001</v>
      </c>
      <c r="F153" s="11">
        <v>108</v>
      </c>
    </row>
    <row r="154" spans="1:6" x14ac:dyDescent="0.25">
      <c r="A154" s="9" t="s">
        <v>1136</v>
      </c>
      <c r="B154" s="9" t="s">
        <v>1102</v>
      </c>
      <c r="C154" s="9" t="s">
        <v>1130</v>
      </c>
      <c r="D154" s="10">
        <v>44651</v>
      </c>
      <c r="E154" s="16">
        <v>2.282</v>
      </c>
      <c r="F154" s="11">
        <v>178</v>
      </c>
    </row>
    <row r="155" spans="1:6" x14ac:dyDescent="0.25">
      <c r="A155" s="9" t="s">
        <v>1128</v>
      </c>
      <c r="B155" s="9" t="s">
        <v>1105</v>
      </c>
      <c r="C155" s="9" t="s">
        <v>1152</v>
      </c>
      <c r="D155" s="10">
        <v>44636</v>
      </c>
      <c r="E155" s="16">
        <v>4.3609999999999998</v>
      </c>
      <c r="F155" s="11">
        <v>81</v>
      </c>
    </row>
    <row r="156" spans="1:6" x14ac:dyDescent="0.25">
      <c r="A156" s="9" t="s">
        <v>1126</v>
      </c>
      <c r="B156" s="9" t="s">
        <v>1102</v>
      </c>
      <c r="C156" s="9" t="s">
        <v>1125</v>
      </c>
      <c r="D156" s="10">
        <v>44586</v>
      </c>
      <c r="E156" s="16">
        <v>7.798</v>
      </c>
      <c r="F156" s="11">
        <v>196</v>
      </c>
    </row>
    <row r="157" spans="1:6" x14ac:dyDescent="0.25">
      <c r="A157" s="9" t="s">
        <v>1104</v>
      </c>
      <c r="B157" s="9" t="s">
        <v>1105</v>
      </c>
      <c r="C157" s="9" t="s">
        <v>1151</v>
      </c>
      <c r="D157" s="10">
        <v>44732</v>
      </c>
      <c r="E157" s="16">
        <v>3.052</v>
      </c>
      <c r="F157" s="11">
        <v>447</v>
      </c>
    </row>
    <row r="158" spans="1:6" x14ac:dyDescent="0.25">
      <c r="A158" s="9" t="s">
        <v>1107</v>
      </c>
      <c r="B158" s="9" t="s">
        <v>1102</v>
      </c>
      <c r="C158" s="9" t="s">
        <v>1115</v>
      </c>
      <c r="D158" s="10">
        <v>44649</v>
      </c>
      <c r="E158" s="16">
        <v>8.0289999999999999</v>
      </c>
      <c r="F158" s="11">
        <v>175</v>
      </c>
    </row>
    <row r="159" spans="1:6" x14ac:dyDescent="0.25">
      <c r="A159" s="9" t="s">
        <v>1133</v>
      </c>
      <c r="B159" s="9" t="s">
        <v>1110</v>
      </c>
      <c r="C159" s="9" t="s">
        <v>1122</v>
      </c>
      <c r="D159" s="10">
        <v>44754</v>
      </c>
      <c r="E159" s="16">
        <v>854</v>
      </c>
      <c r="F159" s="11">
        <v>136</v>
      </c>
    </row>
    <row r="160" spans="1:6" x14ac:dyDescent="0.25">
      <c r="A160" s="9" t="s">
        <v>1101</v>
      </c>
      <c r="B160" s="9" t="s">
        <v>1124</v>
      </c>
      <c r="C160" s="9" t="s">
        <v>1111</v>
      </c>
      <c r="D160" s="10">
        <v>44753</v>
      </c>
      <c r="E160" s="16">
        <v>5.46</v>
      </c>
      <c r="F160" s="11">
        <v>138</v>
      </c>
    </row>
    <row r="161" spans="1:6" x14ac:dyDescent="0.25">
      <c r="A161" s="9" t="s">
        <v>1126</v>
      </c>
      <c r="B161" s="9" t="s">
        <v>1124</v>
      </c>
      <c r="C161" s="9" t="s">
        <v>1111</v>
      </c>
      <c r="D161" s="10">
        <v>44580</v>
      </c>
      <c r="E161" s="16">
        <v>3.0169999999999999</v>
      </c>
      <c r="F161" s="11">
        <v>184</v>
      </c>
    </row>
    <row r="162" spans="1:6" x14ac:dyDescent="0.25">
      <c r="A162" s="9" t="s">
        <v>1143</v>
      </c>
      <c r="B162" s="9" t="s">
        <v>1121</v>
      </c>
      <c r="C162" s="9" t="s">
        <v>1106</v>
      </c>
      <c r="D162" s="10">
        <v>44656</v>
      </c>
      <c r="E162" s="16">
        <v>8.9109999999999996</v>
      </c>
      <c r="F162" s="11">
        <v>82</v>
      </c>
    </row>
    <row r="163" spans="1:6" x14ac:dyDescent="0.25">
      <c r="A163" s="9" t="s">
        <v>1101</v>
      </c>
      <c r="B163" s="9" t="s">
        <v>1124</v>
      </c>
      <c r="C163" s="9" t="s">
        <v>1132</v>
      </c>
      <c r="D163" s="10">
        <v>44613</v>
      </c>
      <c r="E163" s="16">
        <v>7.2030000000000003</v>
      </c>
      <c r="F163" s="11">
        <v>12</v>
      </c>
    </row>
    <row r="164" spans="1:6" x14ac:dyDescent="0.25">
      <c r="A164" s="9" t="s">
        <v>1119</v>
      </c>
      <c r="B164" s="9" t="s">
        <v>1116</v>
      </c>
      <c r="C164" s="9" t="s">
        <v>1152</v>
      </c>
      <c r="D164" s="10">
        <v>44701</v>
      </c>
      <c r="E164" s="16">
        <v>13.083</v>
      </c>
      <c r="F164" s="11">
        <v>14</v>
      </c>
    </row>
    <row r="165" spans="1:6" x14ac:dyDescent="0.25">
      <c r="A165" s="9" t="s">
        <v>1123</v>
      </c>
      <c r="B165" s="9" t="s">
        <v>1110</v>
      </c>
      <c r="C165" s="9" t="s">
        <v>1132</v>
      </c>
      <c r="D165" s="10">
        <v>44771</v>
      </c>
      <c r="E165" s="16">
        <v>2.7789999999999999</v>
      </c>
      <c r="F165" s="11">
        <v>104</v>
      </c>
    </row>
    <row r="166" spans="1:6" x14ac:dyDescent="0.25">
      <c r="A166" s="9" t="s">
        <v>1120</v>
      </c>
      <c r="B166" s="9" t="s">
        <v>1121</v>
      </c>
      <c r="C166" s="9" t="s">
        <v>1137</v>
      </c>
      <c r="D166" s="10">
        <v>44589</v>
      </c>
      <c r="E166" s="16">
        <v>9.0579999999999998</v>
      </c>
      <c r="F166" s="11">
        <v>46</v>
      </c>
    </row>
    <row r="167" spans="1:6" x14ac:dyDescent="0.25">
      <c r="A167" s="9" t="s">
        <v>1128</v>
      </c>
      <c r="B167" s="9" t="s">
        <v>1102</v>
      </c>
      <c r="C167" s="9" t="s">
        <v>1152</v>
      </c>
      <c r="D167" s="10">
        <v>44761</v>
      </c>
      <c r="E167" s="16">
        <v>3.5489999999999999</v>
      </c>
      <c r="F167" s="11">
        <v>112</v>
      </c>
    </row>
    <row r="168" spans="1:6" x14ac:dyDescent="0.25">
      <c r="A168" s="9" t="s">
        <v>1123</v>
      </c>
      <c r="B168" s="9" t="s">
        <v>1116</v>
      </c>
      <c r="C168" s="9" t="s">
        <v>1140</v>
      </c>
      <c r="D168" s="10">
        <v>44664</v>
      </c>
      <c r="E168" s="16">
        <v>9.4359999999999999</v>
      </c>
      <c r="F168" s="11">
        <v>11</v>
      </c>
    </row>
    <row r="169" spans="1:6" x14ac:dyDescent="0.25">
      <c r="A169" s="9" t="s">
        <v>1131</v>
      </c>
      <c r="B169" s="9" t="s">
        <v>1105</v>
      </c>
      <c r="C169" s="9" t="s">
        <v>1108</v>
      </c>
      <c r="D169" s="10">
        <v>44603</v>
      </c>
      <c r="E169" s="16">
        <v>10.282999999999999</v>
      </c>
      <c r="F169" s="11">
        <v>21</v>
      </c>
    </row>
    <row r="170" spans="1:6" x14ac:dyDescent="0.25">
      <c r="A170" s="9" t="s">
        <v>1131</v>
      </c>
      <c r="B170" s="9" t="s">
        <v>1116</v>
      </c>
      <c r="C170" s="9" t="s">
        <v>1132</v>
      </c>
      <c r="D170" s="10">
        <v>44622</v>
      </c>
      <c r="E170" s="16">
        <v>5.4459999999999997</v>
      </c>
      <c r="F170" s="11">
        <v>116</v>
      </c>
    </row>
    <row r="171" spans="1:6" x14ac:dyDescent="0.25">
      <c r="A171" s="9" t="s">
        <v>1150</v>
      </c>
      <c r="B171" s="9" t="s">
        <v>1110</v>
      </c>
      <c r="C171" s="9" t="s">
        <v>1139</v>
      </c>
      <c r="D171" s="10">
        <v>44622</v>
      </c>
      <c r="E171" s="16">
        <v>1.0429999999999999</v>
      </c>
      <c r="F171" s="11">
        <v>202</v>
      </c>
    </row>
    <row r="172" spans="1:6" x14ac:dyDescent="0.25">
      <c r="A172" s="9" t="s">
        <v>1104</v>
      </c>
      <c r="B172" s="9" t="s">
        <v>1121</v>
      </c>
      <c r="C172" s="9" t="s">
        <v>1113</v>
      </c>
      <c r="D172" s="10">
        <v>44770</v>
      </c>
      <c r="E172" s="16">
        <v>12.586</v>
      </c>
      <c r="F172" s="11">
        <v>6</v>
      </c>
    </row>
    <row r="173" spans="1:6" x14ac:dyDescent="0.25">
      <c r="A173" s="9" t="s">
        <v>1144</v>
      </c>
      <c r="B173" s="9" t="s">
        <v>1105</v>
      </c>
      <c r="C173" s="9" t="s">
        <v>1115</v>
      </c>
      <c r="D173" s="10">
        <v>44568</v>
      </c>
      <c r="E173" s="16">
        <v>1.6870000000000001</v>
      </c>
      <c r="F173" s="11">
        <v>520</v>
      </c>
    </row>
    <row r="174" spans="1:6" x14ac:dyDescent="0.25">
      <c r="A174" s="9" t="s">
        <v>1118</v>
      </c>
      <c r="B174" s="9" t="s">
        <v>1102</v>
      </c>
      <c r="C174" s="9" t="s">
        <v>1139</v>
      </c>
      <c r="D174" s="10">
        <v>44663</v>
      </c>
      <c r="E174" s="16">
        <v>5.2990000000000004</v>
      </c>
      <c r="F174" s="11">
        <v>167</v>
      </c>
    </row>
    <row r="175" spans="1:6" x14ac:dyDescent="0.25">
      <c r="A175" s="9" t="s">
        <v>1104</v>
      </c>
      <c r="B175" s="9" t="s">
        <v>1124</v>
      </c>
      <c r="C175" s="9" t="s">
        <v>1142</v>
      </c>
      <c r="D175" s="10">
        <v>44739</v>
      </c>
      <c r="E175" s="16">
        <v>3.2130000000000001</v>
      </c>
      <c r="F175" s="11">
        <v>72</v>
      </c>
    </row>
    <row r="176" spans="1:6" x14ac:dyDescent="0.25">
      <c r="A176" s="9" t="s">
        <v>1101</v>
      </c>
      <c r="B176" s="9" t="s">
        <v>1110</v>
      </c>
      <c r="C176" s="9" t="s">
        <v>1117</v>
      </c>
      <c r="D176" s="10">
        <v>44575</v>
      </c>
      <c r="E176" s="16">
        <v>5.194</v>
      </c>
      <c r="F176" s="11">
        <v>418</v>
      </c>
    </row>
    <row r="177" spans="1:6" x14ac:dyDescent="0.25">
      <c r="A177" s="9" t="s">
        <v>1126</v>
      </c>
      <c r="B177" s="9" t="s">
        <v>1102</v>
      </c>
      <c r="C177" s="9" t="s">
        <v>1151</v>
      </c>
      <c r="D177" s="10">
        <v>44599</v>
      </c>
      <c r="E177" s="16">
        <v>4.7530000000000001</v>
      </c>
      <c r="F177" s="11">
        <v>389</v>
      </c>
    </row>
    <row r="178" spans="1:6" x14ac:dyDescent="0.25">
      <c r="A178" s="9" t="s">
        <v>1101</v>
      </c>
      <c r="B178" s="9" t="s">
        <v>1110</v>
      </c>
      <c r="C178" s="9" t="s">
        <v>1122</v>
      </c>
      <c r="D178" s="10">
        <v>44643</v>
      </c>
      <c r="E178" s="16">
        <v>13.706</v>
      </c>
      <c r="F178" s="11">
        <v>26</v>
      </c>
    </row>
    <row r="179" spans="1:6" x14ac:dyDescent="0.25">
      <c r="A179" s="9" t="s">
        <v>1128</v>
      </c>
      <c r="B179" s="9" t="s">
        <v>1105</v>
      </c>
      <c r="C179" s="9" t="s">
        <v>1108</v>
      </c>
      <c r="D179" s="10">
        <v>44571</v>
      </c>
      <c r="E179" s="16">
        <v>6.4889999999999999</v>
      </c>
      <c r="F179" s="11">
        <v>146</v>
      </c>
    </row>
    <row r="180" spans="1:6" x14ac:dyDescent="0.25">
      <c r="A180" s="9" t="s">
        <v>1112</v>
      </c>
      <c r="B180" s="9" t="s">
        <v>1102</v>
      </c>
      <c r="C180" s="9" t="s">
        <v>1147</v>
      </c>
      <c r="D180" s="10">
        <v>44637</v>
      </c>
      <c r="E180" s="16">
        <v>9.3239999999999998</v>
      </c>
      <c r="F180" s="11">
        <v>41</v>
      </c>
    </row>
    <row r="181" spans="1:6" x14ac:dyDescent="0.25">
      <c r="A181" s="9" t="s">
        <v>1107</v>
      </c>
      <c r="B181" s="9" t="s">
        <v>1121</v>
      </c>
      <c r="C181" s="9" t="s">
        <v>1134</v>
      </c>
      <c r="D181" s="10">
        <v>44582</v>
      </c>
      <c r="E181" s="16">
        <v>10.829000000000001</v>
      </c>
      <c r="F181" s="11">
        <v>54</v>
      </c>
    </row>
    <row r="182" spans="1:6" x14ac:dyDescent="0.25">
      <c r="A182" s="9" t="s">
        <v>1120</v>
      </c>
      <c r="B182" s="9" t="s">
        <v>1110</v>
      </c>
      <c r="C182" s="9" t="s">
        <v>1139</v>
      </c>
      <c r="D182" s="10">
        <v>44746</v>
      </c>
      <c r="E182" s="16">
        <v>8.1129999999999995</v>
      </c>
      <c r="F182" s="11">
        <v>370</v>
      </c>
    </row>
    <row r="183" spans="1:6" x14ac:dyDescent="0.25">
      <c r="A183" s="9" t="s">
        <v>1136</v>
      </c>
      <c r="B183" s="9" t="s">
        <v>1124</v>
      </c>
      <c r="C183" s="9" t="s">
        <v>1108</v>
      </c>
      <c r="D183" s="10">
        <v>44746</v>
      </c>
      <c r="E183" s="16">
        <v>3.2690000000000001</v>
      </c>
      <c r="F183" s="11">
        <v>176</v>
      </c>
    </row>
    <row r="184" spans="1:6" x14ac:dyDescent="0.25">
      <c r="A184" s="9" t="s">
        <v>1149</v>
      </c>
      <c r="B184" s="9" t="s">
        <v>1121</v>
      </c>
      <c r="C184" s="9" t="s">
        <v>1140</v>
      </c>
      <c r="D184" s="10">
        <v>44783</v>
      </c>
      <c r="E184" s="16">
        <v>273</v>
      </c>
      <c r="F184" s="11">
        <v>210</v>
      </c>
    </row>
    <row r="185" spans="1:6" x14ac:dyDescent="0.25">
      <c r="A185" s="9" t="s">
        <v>1138</v>
      </c>
      <c r="B185" s="9" t="s">
        <v>1110</v>
      </c>
      <c r="C185" s="9" t="s">
        <v>1117</v>
      </c>
      <c r="D185" s="10">
        <v>44652</v>
      </c>
      <c r="E185" s="16">
        <v>7.2869999999999999</v>
      </c>
      <c r="F185" s="11">
        <v>12</v>
      </c>
    </row>
    <row r="186" spans="1:6" x14ac:dyDescent="0.25">
      <c r="A186" s="9" t="s">
        <v>1107</v>
      </c>
      <c r="B186" s="9" t="s">
        <v>1105</v>
      </c>
      <c r="C186" s="9" t="s">
        <v>1146</v>
      </c>
      <c r="D186" s="10">
        <v>44614</v>
      </c>
      <c r="E186" s="16">
        <v>2.5830000000000002</v>
      </c>
      <c r="F186" s="11">
        <v>159</v>
      </c>
    </row>
    <row r="187" spans="1:6" x14ac:dyDescent="0.25">
      <c r="A187" s="9" t="s">
        <v>1145</v>
      </c>
      <c r="B187" s="9" t="s">
        <v>1102</v>
      </c>
      <c r="C187" s="9" t="s">
        <v>1139</v>
      </c>
      <c r="D187" s="10">
        <v>44564</v>
      </c>
      <c r="E187" s="16">
        <v>9.9819999999999993</v>
      </c>
      <c r="F187" s="11">
        <v>187</v>
      </c>
    </row>
    <row r="188" spans="1:6" x14ac:dyDescent="0.25">
      <c r="A188" s="9" t="s">
        <v>1126</v>
      </c>
      <c r="B188" s="9" t="s">
        <v>1105</v>
      </c>
      <c r="C188" s="9" t="s">
        <v>1127</v>
      </c>
      <c r="D188" s="10">
        <v>44712</v>
      </c>
      <c r="E188" s="16">
        <v>4.7949999999999999</v>
      </c>
      <c r="F188" s="11">
        <v>233</v>
      </c>
    </row>
    <row r="189" spans="1:6" x14ac:dyDescent="0.25">
      <c r="A189" s="9" t="s">
        <v>1149</v>
      </c>
      <c r="B189" s="9" t="s">
        <v>1102</v>
      </c>
      <c r="C189" s="9" t="s">
        <v>1113</v>
      </c>
      <c r="D189" s="10">
        <v>44564</v>
      </c>
      <c r="E189" s="16">
        <v>9.31</v>
      </c>
      <c r="F189" s="11">
        <v>282</v>
      </c>
    </row>
    <row r="190" spans="1:6" x14ac:dyDescent="0.25">
      <c r="A190" s="9" t="s">
        <v>1135</v>
      </c>
      <c r="B190" s="9" t="s">
        <v>1116</v>
      </c>
      <c r="C190" s="9" t="s">
        <v>1152</v>
      </c>
      <c r="D190" s="10">
        <v>44588</v>
      </c>
      <c r="E190" s="16">
        <v>497</v>
      </c>
      <c r="F190" s="11">
        <v>475</v>
      </c>
    </row>
    <row r="191" spans="1:6" x14ac:dyDescent="0.25">
      <c r="A191" s="9" t="s">
        <v>1120</v>
      </c>
      <c r="B191" s="9" t="s">
        <v>1102</v>
      </c>
      <c r="C191" s="9" t="s">
        <v>1117</v>
      </c>
      <c r="D191" s="10">
        <v>44589</v>
      </c>
      <c r="E191" s="16">
        <v>581</v>
      </c>
      <c r="F191" s="11">
        <v>65</v>
      </c>
    </row>
    <row r="192" spans="1:6" x14ac:dyDescent="0.25">
      <c r="A192" s="9" t="s">
        <v>1133</v>
      </c>
      <c r="B192" s="9" t="s">
        <v>1110</v>
      </c>
      <c r="C192" s="9" t="s">
        <v>1130</v>
      </c>
      <c r="D192" s="10">
        <v>44740</v>
      </c>
      <c r="E192" s="16">
        <v>3.472</v>
      </c>
      <c r="F192" s="11">
        <v>311</v>
      </c>
    </row>
    <row r="193" spans="1:6" x14ac:dyDescent="0.25">
      <c r="A193" s="9" t="s">
        <v>1135</v>
      </c>
      <c r="B193" s="9" t="s">
        <v>1102</v>
      </c>
      <c r="C193" s="9" t="s">
        <v>1147</v>
      </c>
      <c r="D193" s="10">
        <v>44622</v>
      </c>
      <c r="E193" s="16">
        <v>4.3330000000000002</v>
      </c>
      <c r="F193" s="11">
        <v>43</v>
      </c>
    </row>
    <row r="194" spans="1:6" x14ac:dyDescent="0.25">
      <c r="A194" s="9" t="s">
        <v>1141</v>
      </c>
      <c r="B194" s="9" t="s">
        <v>1110</v>
      </c>
      <c r="C194" s="9" t="s">
        <v>1115</v>
      </c>
      <c r="D194" s="10">
        <v>44708</v>
      </c>
      <c r="E194" s="16">
        <v>3.3250000000000002</v>
      </c>
      <c r="F194" s="11">
        <v>26</v>
      </c>
    </row>
    <row r="195" spans="1:6" x14ac:dyDescent="0.25">
      <c r="A195" s="9" t="s">
        <v>1138</v>
      </c>
      <c r="B195" s="9" t="s">
        <v>1121</v>
      </c>
      <c r="C195" s="9" t="s">
        <v>1142</v>
      </c>
      <c r="D195" s="10">
        <v>44742</v>
      </c>
      <c r="E195" s="16">
        <v>11.718</v>
      </c>
      <c r="F195" s="11">
        <v>84</v>
      </c>
    </row>
    <row r="196" spans="1:6" x14ac:dyDescent="0.25">
      <c r="A196" s="9" t="s">
        <v>1120</v>
      </c>
      <c r="B196" s="9" t="s">
        <v>1124</v>
      </c>
      <c r="C196" s="9" t="s">
        <v>1108</v>
      </c>
      <c r="D196" s="10">
        <v>44719</v>
      </c>
      <c r="E196" s="16">
        <v>2.1</v>
      </c>
      <c r="F196" s="11">
        <v>78</v>
      </c>
    </row>
    <row r="197" spans="1:6" x14ac:dyDescent="0.25">
      <c r="A197" s="9" t="s">
        <v>1136</v>
      </c>
      <c r="B197" s="9" t="s">
        <v>1121</v>
      </c>
      <c r="C197" s="9" t="s">
        <v>1153</v>
      </c>
      <c r="D197" s="10">
        <v>44693</v>
      </c>
      <c r="E197" s="16">
        <v>4.0179999999999998</v>
      </c>
      <c r="F197" s="11">
        <v>100</v>
      </c>
    </row>
    <row r="198" spans="1:6" x14ac:dyDescent="0.25">
      <c r="A198" s="9" t="s">
        <v>1120</v>
      </c>
      <c r="B198" s="9" t="s">
        <v>1116</v>
      </c>
      <c r="C198" s="9" t="s">
        <v>1146</v>
      </c>
      <c r="D198" s="10">
        <v>44771</v>
      </c>
      <c r="E198" s="16">
        <v>6.468</v>
      </c>
      <c r="F198" s="11">
        <v>66</v>
      </c>
    </row>
    <row r="199" spans="1:6" x14ac:dyDescent="0.25">
      <c r="A199" s="9" t="s">
        <v>1138</v>
      </c>
      <c r="B199" s="9" t="s">
        <v>1102</v>
      </c>
      <c r="C199" s="9" t="s">
        <v>1139</v>
      </c>
      <c r="D199" s="10">
        <v>44776</v>
      </c>
      <c r="E199" s="16">
        <v>7.2380000000000004</v>
      </c>
      <c r="F199" s="11">
        <v>265</v>
      </c>
    </row>
    <row r="200" spans="1:6" x14ac:dyDescent="0.25">
      <c r="A200" s="9" t="s">
        <v>1120</v>
      </c>
      <c r="B200" s="9" t="s">
        <v>1105</v>
      </c>
      <c r="C200" s="9" t="s">
        <v>1151</v>
      </c>
      <c r="D200" s="10">
        <v>44791</v>
      </c>
      <c r="E200" s="16">
        <v>6.4539999999999997</v>
      </c>
      <c r="F200" s="11">
        <v>141</v>
      </c>
    </row>
    <row r="201" spans="1:6" x14ac:dyDescent="0.25">
      <c r="A201" s="9" t="s">
        <v>1104</v>
      </c>
      <c r="B201" s="9" t="s">
        <v>1116</v>
      </c>
      <c r="C201" s="9" t="s">
        <v>1111</v>
      </c>
      <c r="D201" s="10">
        <v>44726</v>
      </c>
      <c r="E201" s="16">
        <v>3.1150000000000002</v>
      </c>
      <c r="F201" s="11">
        <v>42</v>
      </c>
    </row>
    <row r="202" spans="1:6" x14ac:dyDescent="0.25">
      <c r="A202" s="9" t="s">
        <v>1129</v>
      </c>
      <c r="B202" s="9" t="s">
        <v>1102</v>
      </c>
      <c r="C202" s="9" t="s">
        <v>1139</v>
      </c>
      <c r="D202" s="10">
        <v>44742</v>
      </c>
      <c r="E202" s="16">
        <v>6.4749999999999996</v>
      </c>
      <c r="F202" s="11">
        <v>76</v>
      </c>
    </row>
    <row r="203" spans="1:6" x14ac:dyDescent="0.25">
      <c r="A203" s="9" t="s">
        <v>1145</v>
      </c>
      <c r="B203" s="9" t="s">
        <v>1116</v>
      </c>
      <c r="C203" s="9" t="s">
        <v>1103</v>
      </c>
      <c r="D203" s="10">
        <v>44725</v>
      </c>
      <c r="E203" s="16">
        <v>1.1619999999999999</v>
      </c>
      <c r="F203" s="11">
        <v>190</v>
      </c>
    </row>
    <row r="204" spans="1:6" x14ac:dyDescent="0.25">
      <c r="A204" s="9" t="s">
        <v>1150</v>
      </c>
      <c r="B204" s="9" t="s">
        <v>1102</v>
      </c>
      <c r="C204" s="9" t="s">
        <v>1122</v>
      </c>
      <c r="D204" s="10">
        <v>44678</v>
      </c>
      <c r="E204" s="16">
        <v>14.238</v>
      </c>
      <c r="F204" s="11">
        <v>54</v>
      </c>
    </row>
    <row r="205" spans="1:6" x14ac:dyDescent="0.25">
      <c r="A205" s="9" t="s">
        <v>1109</v>
      </c>
      <c r="B205" s="9" t="s">
        <v>1110</v>
      </c>
      <c r="C205" s="9" t="s">
        <v>1139</v>
      </c>
      <c r="D205" s="10">
        <v>44769</v>
      </c>
      <c r="E205" s="16">
        <v>3.472</v>
      </c>
      <c r="F205" s="11">
        <v>32</v>
      </c>
    </row>
    <row r="206" spans="1:6" x14ac:dyDescent="0.25">
      <c r="A206" s="9" t="s">
        <v>1123</v>
      </c>
      <c r="B206" s="9" t="s">
        <v>1124</v>
      </c>
      <c r="C206" s="9" t="s">
        <v>1106</v>
      </c>
      <c r="D206" s="10">
        <v>44671</v>
      </c>
      <c r="E206" s="16">
        <v>1.4279999999999999</v>
      </c>
      <c r="F206" s="11">
        <v>424</v>
      </c>
    </row>
    <row r="207" spans="1:6" x14ac:dyDescent="0.25">
      <c r="A207" s="9" t="s">
        <v>1119</v>
      </c>
      <c r="B207" s="9" t="s">
        <v>1105</v>
      </c>
      <c r="C207" s="9" t="s">
        <v>1134</v>
      </c>
      <c r="D207" s="10">
        <v>44565</v>
      </c>
      <c r="E207" s="16">
        <v>8.0640000000000001</v>
      </c>
      <c r="F207" s="11">
        <v>134</v>
      </c>
    </row>
    <row r="208" spans="1:6" x14ac:dyDescent="0.25">
      <c r="A208" s="9" t="s">
        <v>1150</v>
      </c>
      <c r="B208" s="9" t="s">
        <v>1110</v>
      </c>
      <c r="C208" s="9" t="s">
        <v>1103</v>
      </c>
      <c r="D208" s="10">
        <v>44613</v>
      </c>
      <c r="E208" s="16">
        <v>9.66</v>
      </c>
      <c r="F208" s="11">
        <v>92</v>
      </c>
    </row>
    <row r="209" spans="1:6" x14ac:dyDescent="0.25">
      <c r="A209" s="9" t="s">
        <v>1126</v>
      </c>
      <c r="B209" s="9" t="s">
        <v>1110</v>
      </c>
      <c r="C209" s="9" t="s">
        <v>1139</v>
      </c>
      <c r="D209" s="10">
        <v>44566</v>
      </c>
      <c r="E209" s="16">
        <v>7.3570000000000002</v>
      </c>
      <c r="F209" s="11">
        <v>48</v>
      </c>
    </row>
    <row r="210" spans="1:6" x14ac:dyDescent="0.25">
      <c r="A210" s="9" t="s">
        <v>1129</v>
      </c>
      <c r="B210" s="9" t="s">
        <v>1105</v>
      </c>
      <c r="C210" s="9" t="s">
        <v>1127</v>
      </c>
      <c r="D210" s="10">
        <v>44757</v>
      </c>
      <c r="E210" s="16">
        <v>6.0549999999999997</v>
      </c>
      <c r="F210" s="11">
        <v>46</v>
      </c>
    </row>
    <row r="211" spans="1:6" x14ac:dyDescent="0.25">
      <c r="A211" s="9" t="s">
        <v>1118</v>
      </c>
      <c r="B211" s="9" t="s">
        <v>1110</v>
      </c>
      <c r="C211" s="9" t="s">
        <v>1147</v>
      </c>
      <c r="D211" s="10">
        <v>44706</v>
      </c>
      <c r="E211" s="16">
        <v>5.1239999999999997</v>
      </c>
      <c r="F211" s="11">
        <v>62</v>
      </c>
    </row>
    <row r="212" spans="1:6" x14ac:dyDescent="0.25">
      <c r="A212" s="9" t="s">
        <v>1126</v>
      </c>
      <c r="B212" s="9" t="s">
        <v>1124</v>
      </c>
      <c r="C212" s="9" t="s">
        <v>1125</v>
      </c>
      <c r="D212" s="10">
        <v>44671</v>
      </c>
      <c r="E212" s="16">
        <v>3.4790000000000001</v>
      </c>
      <c r="F212" s="11">
        <v>358</v>
      </c>
    </row>
    <row r="213" spans="1:6" x14ac:dyDescent="0.25">
      <c r="A213" s="9" t="s">
        <v>1107</v>
      </c>
      <c r="B213" s="9" t="s">
        <v>1121</v>
      </c>
      <c r="C213" s="9" t="s">
        <v>1113</v>
      </c>
      <c r="D213" s="10">
        <v>44714</v>
      </c>
      <c r="E213" s="16">
        <v>784</v>
      </c>
      <c r="F213" s="11">
        <v>249</v>
      </c>
    </row>
    <row r="214" spans="1:6" x14ac:dyDescent="0.25">
      <c r="A214" s="9" t="s">
        <v>1128</v>
      </c>
      <c r="B214" s="9" t="s">
        <v>1102</v>
      </c>
      <c r="C214" s="9" t="s">
        <v>1111</v>
      </c>
      <c r="D214" s="10">
        <v>44694</v>
      </c>
      <c r="E214" s="16">
        <v>18.991</v>
      </c>
      <c r="F214" s="11">
        <v>88</v>
      </c>
    </row>
    <row r="215" spans="1:6" x14ac:dyDescent="0.25">
      <c r="A215" s="9" t="s">
        <v>1129</v>
      </c>
      <c r="B215" s="9" t="s">
        <v>1116</v>
      </c>
      <c r="C215" s="9" t="s">
        <v>1151</v>
      </c>
      <c r="D215" s="10">
        <v>44776</v>
      </c>
      <c r="E215" s="16">
        <v>1.3720000000000001</v>
      </c>
      <c r="F215" s="11">
        <v>144</v>
      </c>
    </row>
    <row r="216" spans="1:6" x14ac:dyDescent="0.25">
      <c r="A216" s="9" t="s">
        <v>1129</v>
      </c>
      <c r="B216" s="9" t="s">
        <v>1110</v>
      </c>
      <c r="C216" s="9" t="s">
        <v>1132</v>
      </c>
      <c r="D216" s="10">
        <v>44706</v>
      </c>
      <c r="E216" s="16">
        <v>735</v>
      </c>
      <c r="F216" s="11">
        <v>390</v>
      </c>
    </row>
    <row r="217" spans="1:6" x14ac:dyDescent="0.25">
      <c r="A217" s="9" t="s">
        <v>1104</v>
      </c>
      <c r="B217" s="9" t="s">
        <v>1102</v>
      </c>
      <c r="C217" s="9" t="s">
        <v>1146</v>
      </c>
      <c r="D217" s="10">
        <v>44636</v>
      </c>
      <c r="E217" s="16">
        <v>6.5380000000000003</v>
      </c>
      <c r="F217" s="11">
        <v>79</v>
      </c>
    </row>
    <row r="218" spans="1:6" x14ac:dyDescent="0.25">
      <c r="A218" s="9" t="s">
        <v>1109</v>
      </c>
      <c r="B218" s="9" t="s">
        <v>1110</v>
      </c>
      <c r="C218" s="9" t="s">
        <v>1122</v>
      </c>
      <c r="D218" s="10">
        <v>44746</v>
      </c>
      <c r="E218" s="16">
        <v>3.1989999999999998</v>
      </c>
      <c r="F218" s="11">
        <v>122</v>
      </c>
    </row>
    <row r="219" spans="1:6" x14ac:dyDescent="0.25">
      <c r="A219" s="9" t="s">
        <v>1101</v>
      </c>
      <c r="B219" s="9" t="s">
        <v>1105</v>
      </c>
      <c r="C219" s="9" t="s">
        <v>1117</v>
      </c>
      <c r="D219" s="10">
        <v>44747</v>
      </c>
      <c r="E219" s="16">
        <v>3.472</v>
      </c>
      <c r="F219" s="11">
        <v>135</v>
      </c>
    </row>
    <row r="220" spans="1:6" x14ac:dyDescent="0.25">
      <c r="A220" s="9" t="s">
        <v>1148</v>
      </c>
      <c r="B220" s="9" t="s">
        <v>1121</v>
      </c>
      <c r="C220" s="9" t="s">
        <v>1115</v>
      </c>
      <c r="D220" s="10">
        <v>44635</v>
      </c>
      <c r="E220" s="16">
        <v>4.5709999999999997</v>
      </c>
      <c r="F220" s="11">
        <v>430</v>
      </c>
    </row>
    <row r="221" spans="1:6" x14ac:dyDescent="0.25">
      <c r="A221" s="9" t="s">
        <v>1120</v>
      </c>
      <c r="B221" s="9" t="s">
        <v>1102</v>
      </c>
      <c r="C221" s="9" t="s">
        <v>1146</v>
      </c>
      <c r="D221" s="10">
        <v>44795</v>
      </c>
      <c r="E221" s="16">
        <v>5.4809999999999999</v>
      </c>
      <c r="F221" s="11">
        <v>69</v>
      </c>
    </row>
    <row r="222" spans="1:6" x14ac:dyDescent="0.25">
      <c r="A222" s="9" t="s">
        <v>1150</v>
      </c>
      <c r="B222" s="9" t="s">
        <v>1110</v>
      </c>
      <c r="C222" s="9" t="s">
        <v>1153</v>
      </c>
      <c r="D222" s="10">
        <v>44573</v>
      </c>
      <c r="E222" s="16">
        <v>3.1360000000000001</v>
      </c>
      <c r="F222" s="11">
        <v>125</v>
      </c>
    </row>
    <row r="223" spans="1:6" x14ac:dyDescent="0.25">
      <c r="A223" s="9" t="s">
        <v>1128</v>
      </c>
      <c r="B223" s="9" t="s">
        <v>1102</v>
      </c>
      <c r="C223" s="9" t="s">
        <v>1151</v>
      </c>
      <c r="D223" s="10">
        <v>44722</v>
      </c>
      <c r="E223" s="16">
        <v>252</v>
      </c>
      <c r="F223" s="11">
        <v>154</v>
      </c>
    </row>
    <row r="224" spans="1:6" x14ac:dyDescent="0.25">
      <c r="A224" s="9" t="s">
        <v>1136</v>
      </c>
      <c r="B224" s="9" t="s">
        <v>1110</v>
      </c>
      <c r="C224" s="9" t="s">
        <v>1108</v>
      </c>
      <c r="D224" s="10">
        <v>44645</v>
      </c>
      <c r="E224" s="16">
        <v>5.46</v>
      </c>
      <c r="F224" s="11">
        <v>286</v>
      </c>
    </row>
    <row r="225" spans="1:6" x14ac:dyDescent="0.25">
      <c r="A225" s="9" t="s">
        <v>1119</v>
      </c>
      <c r="B225" s="9" t="s">
        <v>1105</v>
      </c>
      <c r="C225" s="9" t="s">
        <v>1142</v>
      </c>
      <c r="D225" s="10">
        <v>44769</v>
      </c>
      <c r="E225" s="16">
        <v>3.395</v>
      </c>
      <c r="F225" s="11">
        <v>99</v>
      </c>
    </row>
    <row r="226" spans="1:6" x14ac:dyDescent="0.25">
      <c r="A226" s="9" t="s">
        <v>1135</v>
      </c>
      <c r="B226" s="9" t="s">
        <v>1102</v>
      </c>
      <c r="C226" s="9" t="s">
        <v>1152</v>
      </c>
      <c r="D226" s="10">
        <v>44666</v>
      </c>
      <c r="E226" s="16">
        <v>14.938000000000001</v>
      </c>
      <c r="F226" s="11">
        <v>433</v>
      </c>
    </row>
    <row r="227" spans="1:6" x14ac:dyDescent="0.25">
      <c r="A227" s="9" t="s">
        <v>1131</v>
      </c>
      <c r="B227" s="9" t="s">
        <v>1105</v>
      </c>
      <c r="C227" s="9" t="s">
        <v>1122</v>
      </c>
      <c r="D227" s="10">
        <v>44739</v>
      </c>
      <c r="E227" s="16">
        <v>4.0529999999999999</v>
      </c>
      <c r="F227" s="11">
        <v>19</v>
      </c>
    </row>
    <row r="228" spans="1:6" x14ac:dyDescent="0.25">
      <c r="A228" s="9" t="s">
        <v>1101</v>
      </c>
      <c r="B228" s="9" t="s">
        <v>1102</v>
      </c>
      <c r="C228" s="9" t="s">
        <v>1153</v>
      </c>
      <c r="D228" s="10">
        <v>44665</v>
      </c>
      <c r="E228" s="16">
        <v>5.5650000000000004</v>
      </c>
      <c r="F228" s="11">
        <v>258</v>
      </c>
    </row>
    <row r="229" spans="1:6" x14ac:dyDescent="0.25">
      <c r="A229" s="9" t="s">
        <v>1135</v>
      </c>
      <c r="B229" s="9" t="s">
        <v>1110</v>
      </c>
      <c r="C229" s="9" t="s">
        <v>1140</v>
      </c>
      <c r="D229" s="10">
        <v>44635</v>
      </c>
      <c r="E229" s="16">
        <v>7.1609999999999996</v>
      </c>
      <c r="F229" s="11">
        <v>92</v>
      </c>
    </row>
    <row r="230" spans="1:6" x14ac:dyDescent="0.25">
      <c r="A230" s="9" t="s">
        <v>1148</v>
      </c>
      <c r="B230" s="9" t="s">
        <v>1121</v>
      </c>
      <c r="C230" s="9" t="s">
        <v>1125</v>
      </c>
      <c r="D230" s="10">
        <v>44638</v>
      </c>
      <c r="E230" s="16">
        <v>8.8829999999999991</v>
      </c>
      <c r="F230" s="11">
        <v>200</v>
      </c>
    </row>
    <row r="231" spans="1:6" x14ac:dyDescent="0.25">
      <c r="A231" s="9" t="s">
        <v>1118</v>
      </c>
      <c r="B231" s="9" t="s">
        <v>1105</v>
      </c>
      <c r="C231" s="9" t="s">
        <v>1125</v>
      </c>
      <c r="D231" s="10">
        <v>44680</v>
      </c>
      <c r="E231" s="16">
        <v>1.351</v>
      </c>
      <c r="F231" s="11">
        <v>61</v>
      </c>
    </row>
    <row r="232" spans="1:6" x14ac:dyDescent="0.25">
      <c r="A232" s="9" t="s">
        <v>1123</v>
      </c>
      <c r="B232" s="9" t="s">
        <v>1116</v>
      </c>
      <c r="C232" s="9" t="s">
        <v>1139</v>
      </c>
      <c r="D232" s="10">
        <v>44617</v>
      </c>
      <c r="E232" s="16">
        <v>3.1709999999999998</v>
      </c>
      <c r="F232" s="11">
        <v>246</v>
      </c>
    </row>
    <row r="233" spans="1:6" x14ac:dyDescent="0.25">
      <c r="A233" s="9" t="s">
        <v>1135</v>
      </c>
      <c r="B233" s="9" t="s">
        <v>1121</v>
      </c>
      <c r="C233" s="9" t="s">
        <v>1132</v>
      </c>
      <c r="D233" s="10">
        <v>44622</v>
      </c>
      <c r="E233" s="16">
        <v>854</v>
      </c>
      <c r="F233" s="11">
        <v>56</v>
      </c>
    </row>
    <row r="234" spans="1:6" x14ac:dyDescent="0.25">
      <c r="A234" s="9" t="s">
        <v>1104</v>
      </c>
      <c r="B234" s="9" t="s">
        <v>1110</v>
      </c>
      <c r="C234" s="9" t="s">
        <v>1132</v>
      </c>
      <c r="D234" s="10">
        <v>44732</v>
      </c>
      <c r="E234" s="16">
        <v>7.91</v>
      </c>
      <c r="F234" s="11">
        <v>87</v>
      </c>
    </row>
    <row r="235" spans="1:6" x14ac:dyDescent="0.25">
      <c r="A235" s="9" t="s">
        <v>1129</v>
      </c>
      <c r="B235" s="9" t="s">
        <v>1124</v>
      </c>
      <c r="C235" s="9" t="s">
        <v>1139</v>
      </c>
      <c r="D235" s="10">
        <v>44757</v>
      </c>
      <c r="E235" s="16">
        <v>9.2750000000000004</v>
      </c>
      <c r="F235" s="11">
        <v>173</v>
      </c>
    </row>
    <row r="236" spans="1:6" x14ac:dyDescent="0.25">
      <c r="A236" s="9" t="s">
        <v>1149</v>
      </c>
      <c r="B236" s="9" t="s">
        <v>1110</v>
      </c>
      <c r="C236" s="9" t="s">
        <v>1117</v>
      </c>
      <c r="D236" s="10">
        <v>44693</v>
      </c>
      <c r="E236" s="16">
        <v>3.1080000000000001</v>
      </c>
      <c r="F236" s="11">
        <v>252</v>
      </c>
    </row>
    <row r="237" spans="1:6" x14ac:dyDescent="0.25">
      <c r="A237" s="9" t="s">
        <v>1123</v>
      </c>
      <c r="B237" s="9" t="s">
        <v>1116</v>
      </c>
      <c r="C237" s="9" t="s">
        <v>1130</v>
      </c>
      <c r="D237" s="10">
        <v>44743</v>
      </c>
      <c r="E237" s="16">
        <v>5.0750000000000002</v>
      </c>
      <c r="F237" s="11">
        <v>256</v>
      </c>
    </row>
    <row r="238" spans="1:6" x14ac:dyDescent="0.25">
      <c r="A238" s="9" t="s">
        <v>1135</v>
      </c>
      <c r="B238" s="9" t="s">
        <v>1121</v>
      </c>
      <c r="C238" s="9" t="s">
        <v>1106</v>
      </c>
      <c r="D238" s="10">
        <v>44781</v>
      </c>
      <c r="E238" s="16">
        <v>378</v>
      </c>
      <c r="F238" s="11">
        <v>54</v>
      </c>
    </row>
    <row r="239" spans="1:6" x14ac:dyDescent="0.25">
      <c r="A239" s="9" t="s">
        <v>1148</v>
      </c>
      <c r="B239" s="9" t="s">
        <v>1110</v>
      </c>
      <c r="C239" s="9" t="s">
        <v>1117</v>
      </c>
      <c r="D239" s="10">
        <v>44767</v>
      </c>
      <c r="E239" s="16">
        <v>7.35</v>
      </c>
      <c r="F239" s="11">
        <v>6</v>
      </c>
    </row>
    <row r="240" spans="1:6" x14ac:dyDescent="0.25">
      <c r="A240" s="9" t="s">
        <v>1141</v>
      </c>
      <c r="B240" s="9" t="s">
        <v>1102</v>
      </c>
      <c r="C240" s="9" t="s">
        <v>1127</v>
      </c>
      <c r="D240" s="10">
        <v>44699</v>
      </c>
      <c r="E240" s="16">
        <v>3.3879999999999999</v>
      </c>
      <c r="F240" s="11">
        <v>55</v>
      </c>
    </row>
    <row r="241" spans="1:6" x14ac:dyDescent="0.25">
      <c r="A241" s="9" t="s">
        <v>1145</v>
      </c>
      <c r="B241" s="9" t="s">
        <v>1105</v>
      </c>
      <c r="C241" s="9" t="s">
        <v>1108</v>
      </c>
      <c r="D241" s="10">
        <v>44757</v>
      </c>
      <c r="E241" s="16">
        <v>11.837</v>
      </c>
      <c r="F241" s="11">
        <v>277</v>
      </c>
    </row>
    <row r="242" spans="1:6" x14ac:dyDescent="0.25">
      <c r="A242" s="9" t="s">
        <v>1133</v>
      </c>
      <c r="B242" s="9" t="s">
        <v>1105</v>
      </c>
      <c r="C242" s="9" t="s">
        <v>1153</v>
      </c>
      <c r="D242" s="10">
        <v>44747</v>
      </c>
      <c r="E242" s="16">
        <v>2.282</v>
      </c>
      <c r="F242" s="11">
        <v>44</v>
      </c>
    </row>
    <row r="243" spans="1:6" x14ac:dyDescent="0.25">
      <c r="A243" s="9" t="s">
        <v>1123</v>
      </c>
      <c r="B243" s="9" t="s">
        <v>1121</v>
      </c>
      <c r="C243" s="9" t="s">
        <v>1140</v>
      </c>
      <c r="D243" s="10">
        <v>44746</v>
      </c>
      <c r="E243" s="16">
        <v>5.4249999999999998</v>
      </c>
      <c r="F243" s="11">
        <v>96</v>
      </c>
    </row>
    <row r="244" spans="1:6" x14ac:dyDescent="0.25">
      <c r="A244" s="9" t="s">
        <v>1149</v>
      </c>
      <c r="B244" s="9" t="s">
        <v>1102</v>
      </c>
      <c r="C244" s="9" t="s">
        <v>1153</v>
      </c>
      <c r="D244" s="10">
        <v>44732</v>
      </c>
      <c r="E244" s="16">
        <v>1.2669999999999999</v>
      </c>
      <c r="F244" s="11">
        <v>216</v>
      </c>
    </row>
    <row r="245" spans="1:6" x14ac:dyDescent="0.25">
      <c r="A245" s="9" t="s">
        <v>1114</v>
      </c>
      <c r="B245" s="9" t="s">
        <v>1110</v>
      </c>
      <c r="C245" s="9" t="s">
        <v>1142</v>
      </c>
      <c r="D245" s="10">
        <v>44586</v>
      </c>
      <c r="E245" s="16">
        <v>3.7519999999999998</v>
      </c>
      <c r="F245" s="11">
        <v>424</v>
      </c>
    </row>
    <row r="246" spans="1:6" x14ac:dyDescent="0.25">
      <c r="A246" s="9" t="s">
        <v>1136</v>
      </c>
      <c r="B246" s="9" t="s">
        <v>1116</v>
      </c>
      <c r="C246" s="9" t="s">
        <v>1134</v>
      </c>
      <c r="D246" s="10">
        <v>44743</v>
      </c>
      <c r="E246" s="16">
        <v>7.7279999999999998</v>
      </c>
      <c r="F246" s="11">
        <v>37</v>
      </c>
    </row>
    <row r="247" spans="1:6" x14ac:dyDescent="0.25">
      <c r="A247" s="9" t="s">
        <v>1107</v>
      </c>
      <c r="B247" s="9" t="s">
        <v>1121</v>
      </c>
      <c r="C247" s="9" t="s">
        <v>1117</v>
      </c>
      <c r="D247" s="10">
        <v>44664</v>
      </c>
      <c r="E247" s="16">
        <v>2.2959999999999998</v>
      </c>
      <c r="F247" s="11">
        <v>59</v>
      </c>
    </row>
    <row r="248" spans="1:6" x14ac:dyDescent="0.25">
      <c r="A248" s="9" t="s">
        <v>1129</v>
      </c>
      <c r="B248" s="9" t="s">
        <v>1102</v>
      </c>
      <c r="C248" s="9" t="s">
        <v>1111</v>
      </c>
      <c r="D248" s="10">
        <v>44685</v>
      </c>
      <c r="E248" s="16">
        <v>4.4029999999999996</v>
      </c>
      <c r="F248" s="11">
        <v>76</v>
      </c>
    </row>
    <row r="249" spans="1:6" x14ac:dyDescent="0.25">
      <c r="A249" s="9" t="s">
        <v>1129</v>
      </c>
      <c r="B249" s="9" t="s">
        <v>1110</v>
      </c>
      <c r="C249" s="9" t="s">
        <v>1151</v>
      </c>
      <c r="D249" s="10">
        <v>44777</v>
      </c>
      <c r="E249" s="16">
        <v>3.1920000000000002</v>
      </c>
      <c r="F249" s="11">
        <v>109</v>
      </c>
    </row>
    <row r="250" spans="1:6" x14ac:dyDescent="0.25">
      <c r="A250" s="9" t="s">
        <v>1129</v>
      </c>
      <c r="B250" s="9" t="s">
        <v>1105</v>
      </c>
      <c r="C250" s="9" t="s">
        <v>1153</v>
      </c>
      <c r="D250" s="10">
        <v>44713</v>
      </c>
      <c r="E250" s="16">
        <v>448</v>
      </c>
      <c r="F250" s="11">
        <v>146</v>
      </c>
    </row>
    <row r="251" spans="1:6" x14ac:dyDescent="0.25">
      <c r="A251" s="9" t="s">
        <v>1101</v>
      </c>
      <c r="B251" s="9" t="s">
        <v>1102</v>
      </c>
      <c r="C251" s="9" t="s">
        <v>1147</v>
      </c>
      <c r="D251" s="10">
        <v>44673</v>
      </c>
      <c r="E251" s="16">
        <v>4.2699999999999996</v>
      </c>
      <c r="F251" s="11">
        <v>185</v>
      </c>
    </row>
    <row r="252" spans="1:6" x14ac:dyDescent="0.25">
      <c r="A252" s="9" t="s">
        <v>1136</v>
      </c>
      <c r="B252" s="9" t="s">
        <v>1121</v>
      </c>
      <c r="C252" s="9" t="s">
        <v>1117</v>
      </c>
      <c r="D252" s="10">
        <v>44776</v>
      </c>
      <c r="E252" s="16">
        <v>70</v>
      </c>
      <c r="F252" s="11">
        <v>27</v>
      </c>
    </row>
    <row r="253" spans="1:6" x14ac:dyDescent="0.25">
      <c r="A253" s="9" t="s">
        <v>1150</v>
      </c>
      <c r="B253" s="9" t="s">
        <v>1121</v>
      </c>
      <c r="C253" s="9" t="s">
        <v>1122</v>
      </c>
      <c r="D253" s="10">
        <v>44722</v>
      </c>
      <c r="E253" s="16">
        <v>1.7430000000000001</v>
      </c>
      <c r="F253" s="11">
        <v>69</v>
      </c>
    </row>
    <row r="254" spans="1:6" x14ac:dyDescent="0.25">
      <c r="A254" s="9" t="s">
        <v>1114</v>
      </c>
      <c r="B254" s="9" t="s">
        <v>1102</v>
      </c>
      <c r="C254" s="9" t="s">
        <v>1140</v>
      </c>
      <c r="D254" s="10">
        <v>44739</v>
      </c>
      <c r="E254" s="16">
        <v>6.7619999999999996</v>
      </c>
      <c r="F254" s="11">
        <v>46</v>
      </c>
    </row>
    <row r="255" spans="1:6" x14ac:dyDescent="0.25">
      <c r="A255" s="9" t="s">
        <v>1128</v>
      </c>
      <c r="B255" s="9" t="s">
        <v>1110</v>
      </c>
      <c r="C255" s="9" t="s">
        <v>1111</v>
      </c>
      <c r="D255" s="10">
        <v>44564</v>
      </c>
      <c r="E255" s="16">
        <v>3.7450000000000001</v>
      </c>
      <c r="F255" s="11">
        <v>170</v>
      </c>
    </row>
    <row r="256" spans="1:6" x14ac:dyDescent="0.25">
      <c r="A256" s="9" t="s">
        <v>1128</v>
      </c>
      <c r="B256" s="9" t="s">
        <v>1105</v>
      </c>
      <c r="C256" s="9" t="s">
        <v>1115</v>
      </c>
      <c r="D256" s="10">
        <v>44753</v>
      </c>
      <c r="E256" s="16">
        <v>2.6389999999999998</v>
      </c>
      <c r="F256" s="11">
        <v>179</v>
      </c>
    </row>
    <row r="257" spans="1:6" x14ac:dyDescent="0.25">
      <c r="A257" s="9" t="s">
        <v>1150</v>
      </c>
      <c r="B257" s="9" t="s">
        <v>1116</v>
      </c>
      <c r="C257" s="9" t="s">
        <v>1132</v>
      </c>
      <c r="D257" s="10">
        <v>44790</v>
      </c>
      <c r="E257" s="16">
        <v>4.3890000000000002</v>
      </c>
      <c r="F257" s="11">
        <v>126</v>
      </c>
    </row>
    <row r="258" spans="1:6" x14ac:dyDescent="0.25">
      <c r="A258" s="9" t="s">
        <v>1119</v>
      </c>
      <c r="B258" s="9" t="s">
        <v>1121</v>
      </c>
      <c r="C258" s="9" t="s">
        <v>1137</v>
      </c>
      <c r="D258" s="10">
        <v>44579</v>
      </c>
      <c r="E258" s="16">
        <v>2.6040000000000001</v>
      </c>
      <c r="F258" s="11">
        <v>65</v>
      </c>
    </row>
    <row r="259" spans="1:6" x14ac:dyDescent="0.25">
      <c r="A259" s="9" t="s">
        <v>1150</v>
      </c>
      <c r="B259" s="9" t="s">
        <v>1105</v>
      </c>
      <c r="C259" s="9" t="s">
        <v>1130</v>
      </c>
      <c r="D259" s="10">
        <v>44628</v>
      </c>
      <c r="E259" s="16">
        <v>16.568999999999999</v>
      </c>
      <c r="F259" s="11">
        <v>99</v>
      </c>
    </row>
    <row r="260" spans="1:6" x14ac:dyDescent="0.25">
      <c r="A260" s="9" t="s">
        <v>1123</v>
      </c>
      <c r="B260" s="9" t="s">
        <v>1110</v>
      </c>
      <c r="C260" s="9" t="s">
        <v>1122</v>
      </c>
      <c r="D260" s="10">
        <v>44627</v>
      </c>
      <c r="E260" s="16">
        <v>14.657999999999999</v>
      </c>
      <c r="F260" s="11">
        <v>275</v>
      </c>
    </row>
    <row r="261" spans="1:6" x14ac:dyDescent="0.25">
      <c r="A261" s="9" t="s">
        <v>1135</v>
      </c>
      <c r="B261" s="9" t="s">
        <v>1105</v>
      </c>
      <c r="C261" s="9" t="s">
        <v>1153</v>
      </c>
      <c r="D261" s="10">
        <v>44690</v>
      </c>
      <c r="E261" s="16">
        <v>6.4539999999999997</v>
      </c>
      <c r="F261" s="11">
        <v>157</v>
      </c>
    </row>
    <row r="262" spans="1:6" x14ac:dyDescent="0.25">
      <c r="A262" s="9" t="s">
        <v>1120</v>
      </c>
      <c r="B262" s="9" t="s">
        <v>1116</v>
      </c>
      <c r="C262" s="9" t="s">
        <v>1106</v>
      </c>
      <c r="D262" s="10">
        <v>44704</v>
      </c>
      <c r="E262" s="16">
        <v>2.1</v>
      </c>
      <c r="F262" s="11">
        <v>157</v>
      </c>
    </row>
    <row r="263" spans="1:6" x14ac:dyDescent="0.25">
      <c r="A263" s="9" t="s">
        <v>1148</v>
      </c>
      <c r="B263" s="9" t="s">
        <v>1102</v>
      </c>
      <c r="C263" s="9" t="s">
        <v>1152</v>
      </c>
      <c r="D263" s="10">
        <v>44666</v>
      </c>
      <c r="E263" s="16">
        <v>161</v>
      </c>
      <c r="F263" s="11">
        <v>145</v>
      </c>
    </row>
    <row r="264" spans="1:6" x14ac:dyDescent="0.25">
      <c r="A264" s="9" t="s">
        <v>1107</v>
      </c>
      <c r="B264" s="9" t="s">
        <v>1110</v>
      </c>
      <c r="C264" s="9" t="s">
        <v>1127</v>
      </c>
      <c r="D264" s="10">
        <v>44769</v>
      </c>
      <c r="E264" s="16">
        <v>2.8069999999999999</v>
      </c>
      <c r="F264" s="11">
        <v>139</v>
      </c>
    </row>
    <row r="265" spans="1:6" x14ac:dyDescent="0.25">
      <c r="A265" s="9" t="s">
        <v>1128</v>
      </c>
      <c r="B265" s="9" t="s">
        <v>1124</v>
      </c>
      <c r="C265" s="9" t="s">
        <v>1147</v>
      </c>
      <c r="D265" s="10">
        <v>44795</v>
      </c>
      <c r="E265" s="16">
        <v>2.6389999999999998</v>
      </c>
      <c r="F265" s="11">
        <v>406</v>
      </c>
    </row>
    <row r="266" spans="1:6" x14ac:dyDescent="0.25">
      <c r="A266" s="9" t="s">
        <v>1150</v>
      </c>
      <c r="B266" s="9" t="s">
        <v>1121</v>
      </c>
      <c r="C266" s="9" t="s">
        <v>1153</v>
      </c>
      <c r="D266" s="10">
        <v>44692</v>
      </c>
      <c r="E266" s="16">
        <v>4.5709999999999997</v>
      </c>
      <c r="F266" s="11">
        <v>122</v>
      </c>
    </row>
    <row r="267" spans="1:6" x14ac:dyDescent="0.25">
      <c r="A267" s="9" t="s">
        <v>1148</v>
      </c>
      <c r="B267" s="9" t="s">
        <v>1105</v>
      </c>
      <c r="C267" s="9" t="s">
        <v>1130</v>
      </c>
      <c r="D267" s="10">
        <v>44587</v>
      </c>
      <c r="E267" s="16">
        <v>4.7809999999999997</v>
      </c>
      <c r="F267" s="11">
        <v>38</v>
      </c>
    </row>
    <row r="268" spans="1:6" x14ac:dyDescent="0.25">
      <c r="A268" s="9" t="s">
        <v>1120</v>
      </c>
      <c r="B268" s="9" t="s">
        <v>1121</v>
      </c>
      <c r="C268" s="9" t="s">
        <v>1117</v>
      </c>
      <c r="D268" s="10">
        <v>44665</v>
      </c>
      <c r="E268" s="16">
        <v>13.034000000000001</v>
      </c>
      <c r="F268" s="11">
        <v>117</v>
      </c>
    </row>
    <row r="269" spans="1:6" x14ac:dyDescent="0.25">
      <c r="A269" s="9" t="s">
        <v>1138</v>
      </c>
      <c r="B269" s="9" t="s">
        <v>1116</v>
      </c>
      <c r="C269" s="9" t="s">
        <v>1103</v>
      </c>
      <c r="D269" s="10">
        <v>44656</v>
      </c>
      <c r="E269" s="16">
        <v>6.4539999999999997</v>
      </c>
      <c r="F269" s="11">
        <v>417</v>
      </c>
    </row>
    <row r="270" spans="1:6" x14ac:dyDescent="0.25">
      <c r="A270" s="9" t="s">
        <v>1128</v>
      </c>
      <c r="B270" s="9" t="s">
        <v>1116</v>
      </c>
      <c r="C270" s="9" t="s">
        <v>1111</v>
      </c>
      <c r="D270" s="10">
        <v>44726</v>
      </c>
      <c r="E270" s="16">
        <v>8.484</v>
      </c>
      <c r="F270" s="11">
        <v>57</v>
      </c>
    </row>
    <row r="271" spans="1:6" x14ac:dyDescent="0.25">
      <c r="A271" s="9" t="s">
        <v>1118</v>
      </c>
      <c r="B271" s="9" t="s">
        <v>1124</v>
      </c>
      <c r="C271" s="9" t="s">
        <v>1142</v>
      </c>
      <c r="D271" s="10">
        <v>44664</v>
      </c>
      <c r="E271" s="16">
        <v>4.7809999999999997</v>
      </c>
      <c r="F271" s="11">
        <v>125</v>
      </c>
    </row>
    <row r="272" spans="1:6" x14ac:dyDescent="0.25">
      <c r="A272" s="9" t="s">
        <v>1129</v>
      </c>
      <c r="B272" s="9" t="s">
        <v>1110</v>
      </c>
      <c r="C272" s="9" t="s">
        <v>1139</v>
      </c>
      <c r="D272" s="10">
        <v>44739</v>
      </c>
      <c r="E272" s="16">
        <v>2.2400000000000002</v>
      </c>
      <c r="F272" s="11">
        <v>166</v>
      </c>
    </row>
    <row r="273" spans="1:6" x14ac:dyDescent="0.25">
      <c r="A273" s="9" t="s">
        <v>1149</v>
      </c>
      <c r="B273" s="9" t="s">
        <v>1110</v>
      </c>
      <c r="C273" s="9" t="s">
        <v>1125</v>
      </c>
      <c r="D273" s="10">
        <v>44587</v>
      </c>
      <c r="E273" s="16">
        <v>6.9790000000000001</v>
      </c>
      <c r="F273" s="11">
        <v>3</v>
      </c>
    </row>
    <row r="274" spans="1:6" x14ac:dyDescent="0.25">
      <c r="A274" s="9" t="s">
        <v>1120</v>
      </c>
      <c r="B274" s="9" t="s">
        <v>1102</v>
      </c>
      <c r="C274" s="9" t="s">
        <v>1139</v>
      </c>
      <c r="D274" s="10">
        <v>44747</v>
      </c>
      <c r="E274" s="16">
        <v>1.6519999999999999</v>
      </c>
      <c r="F274" s="11">
        <v>72</v>
      </c>
    </row>
    <row r="275" spans="1:6" x14ac:dyDescent="0.25">
      <c r="A275" s="9" t="s">
        <v>1129</v>
      </c>
      <c r="B275" s="9" t="s">
        <v>1124</v>
      </c>
      <c r="C275" s="9" t="s">
        <v>1151</v>
      </c>
      <c r="D275" s="10">
        <v>44572</v>
      </c>
      <c r="E275" s="16">
        <v>13.446999999999999</v>
      </c>
      <c r="F275" s="11">
        <v>95</v>
      </c>
    </row>
    <row r="276" spans="1:6" x14ac:dyDescent="0.25">
      <c r="A276" s="9" t="s">
        <v>1144</v>
      </c>
      <c r="B276" s="9" t="s">
        <v>1121</v>
      </c>
      <c r="C276" s="9" t="s">
        <v>1139</v>
      </c>
      <c r="D276" s="10">
        <v>44627</v>
      </c>
      <c r="E276" s="16">
        <v>9.4220000000000006</v>
      </c>
      <c r="F276" s="11">
        <v>22</v>
      </c>
    </row>
    <row r="277" spans="1:6" x14ac:dyDescent="0.25">
      <c r="A277" s="9" t="s">
        <v>1136</v>
      </c>
      <c r="B277" s="9" t="s">
        <v>1124</v>
      </c>
      <c r="C277" s="9" t="s">
        <v>1117</v>
      </c>
      <c r="D277" s="10">
        <v>44624</v>
      </c>
      <c r="E277" s="16">
        <v>8.6869999999999994</v>
      </c>
      <c r="F277" s="11">
        <v>100</v>
      </c>
    </row>
    <row r="278" spans="1:6" x14ac:dyDescent="0.25">
      <c r="A278" s="9" t="s">
        <v>1126</v>
      </c>
      <c r="B278" s="9" t="s">
        <v>1124</v>
      </c>
      <c r="C278" s="9" t="s">
        <v>1130</v>
      </c>
      <c r="D278" s="10">
        <v>44757</v>
      </c>
      <c r="E278" s="16">
        <v>2.415</v>
      </c>
      <c r="F278" s="11">
        <v>312</v>
      </c>
    </row>
    <row r="279" spans="1:6" x14ac:dyDescent="0.25">
      <c r="A279" s="9" t="s">
        <v>1136</v>
      </c>
      <c r="B279" s="9" t="s">
        <v>1102</v>
      </c>
      <c r="C279" s="9" t="s">
        <v>1108</v>
      </c>
      <c r="D279" s="10">
        <v>44692</v>
      </c>
      <c r="E279" s="16">
        <v>6.2720000000000002</v>
      </c>
      <c r="F279" s="11">
        <v>86</v>
      </c>
    </row>
    <row r="280" spans="1:6" x14ac:dyDescent="0.25">
      <c r="A280" s="9" t="s">
        <v>1126</v>
      </c>
      <c r="B280" s="9" t="s">
        <v>1121</v>
      </c>
      <c r="C280" s="9" t="s">
        <v>1132</v>
      </c>
      <c r="D280" s="10">
        <v>44588</v>
      </c>
      <c r="E280" s="16">
        <v>4.3890000000000002</v>
      </c>
      <c r="F280" s="11">
        <v>7</v>
      </c>
    </row>
    <row r="281" spans="1:6" x14ac:dyDescent="0.25">
      <c r="A281" s="9" t="s">
        <v>1126</v>
      </c>
      <c r="B281" s="9" t="s">
        <v>1105</v>
      </c>
      <c r="C281" s="9" t="s">
        <v>1122</v>
      </c>
      <c r="D281" s="10">
        <v>44739</v>
      </c>
      <c r="E281" s="16">
        <v>3.1219999999999999</v>
      </c>
      <c r="F281" s="11">
        <v>149</v>
      </c>
    </row>
    <row r="282" spans="1:6" x14ac:dyDescent="0.25">
      <c r="A282" s="9" t="s">
        <v>1150</v>
      </c>
      <c r="B282" s="9" t="s">
        <v>1105</v>
      </c>
      <c r="C282" s="9" t="s">
        <v>1111</v>
      </c>
      <c r="D282" s="10">
        <v>44776</v>
      </c>
      <c r="E282" s="16">
        <v>8.0429999999999993</v>
      </c>
      <c r="F282" s="11">
        <v>18</v>
      </c>
    </row>
    <row r="283" spans="1:6" x14ac:dyDescent="0.25">
      <c r="A283" s="9" t="s">
        <v>1141</v>
      </c>
      <c r="B283" s="9" t="s">
        <v>1116</v>
      </c>
      <c r="C283" s="9" t="s">
        <v>1103</v>
      </c>
      <c r="D283" s="10">
        <v>44792</v>
      </c>
      <c r="E283" s="16">
        <v>11.662000000000001</v>
      </c>
      <c r="F283" s="11">
        <v>242</v>
      </c>
    </row>
    <row r="284" spans="1:6" x14ac:dyDescent="0.25">
      <c r="A284" s="9" t="s">
        <v>1141</v>
      </c>
      <c r="B284" s="9" t="s">
        <v>1110</v>
      </c>
      <c r="C284" s="9" t="s">
        <v>1137</v>
      </c>
      <c r="D284" s="10">
        <v>44727</v>
      </c>
      <c r="E284" s="16">
        <v>392</v>
      </c>
      <c r="F284" s="11">
        <v>102</v>
      </c>
    </row>
    <row r="285" spans="1:6" x14ac:dyDescent="0.25">
      <c r="A285" s="9" t="s">
        <v>1138</v>
      </c>
      <c r="B285" s="9" t="s">
        <v>1102</v>
      </c>
      <c r="C285" s="9" t="s">
        <v>1108</v>
      </c>
      <c r="D285" s="10">
        <v>44599</v>
      </c>
      <c r="E285" s="16">
        <v>8.9250000000000007</v>
      </c>
      <c r="F285" s="11">
        <v>158</v>
      </c>
    </row>
    <row r="286" spans="1:6" x14ac:dyDescent="0.25">
      <c r="A286" s="9" t="s">
        <v>1126</v>
      </c>
      <c r="B286" s="9" t="s">
        <v>1110</v>
      </c>
      <c r="C286" s="9" t="s">
        <v>1142</v>
      </c>
      <c r="D286" s="10">
        <v>44750</v>
      </c>
      <c r="E286" s="16">
        <v>7.2939999999999996</v>
      </c>
      <c r="F286" s="11">
        <v>128</v>
      </c>
    </row>
    <row r="287" spans="1:6" x14ac:dyDescent="0.25">
      <c r="A287" s="9" t="s">
        <v>1138</v>
      </c>
      <c r="B287" s="9" t="s">
        <v>1105</v>
      </c>
      <c r="C287" s="9" t="s">
        <v>1132</v>
      </c>
      <c r="D287" s="10">
        <v>44672</v>
      </c>
      <c r="E287" s="16">
        <v>1.526</v>
      </c>
      <c r="F287" s="11">
        <v>96</v>
      </c>
    </row>
    <row r="288" spans="1:6" x14ac:dyDescent="0.25">
      <c r="A288" s="9" t="s">
        <v>1150</v>
      </c>
      <c r="B288" s="9" t="s">
        <v>1102</v>
      </c>
      <c r="C288" s="9" t="s">
        <v>1103</v>
      </c>
      <c r="D288" s="10">
        <v>44659</v>
      </c>
      <c r="E288" s="16">
        <v>2.6880000000000002</v>
      </c>
      <c r="F288" s="11">
        <v>209</v>
      </c>
    </row>
    <row r="289" spans="1:6" x14ac:dyDescent="0.25">
      <c r="A289" s="9" t="s">
        <v>1135</v>
      </c>
      <c r="B289" s="9" t="s">
        <v>1110</v>
      </c>
      <c r="C289" s="9" t="s">
        <v>1117</v>
      </c>
      <c r="D289" s="10">
        <v>44792</v>
      </c>
      <c r="E289" s="16">
        <v>14.888999999999999</v>
      </c>
      <c r="F289" s="11">
        <v>52</v>
      </c>
    </row>
    <row r="290" spans="1:6" x14ac:dyDescent="0.25">
      <c r="A290" s="9" t="s">
        <v>1109</v>
      </c>
      <c r="B290" s="9" t="s">
        <v>1105</v>
      </c>
      <c r="C290" s="9" t="s">
        <v>1137</v>
      </c>
      <c r="D290" s="10">
        <v>44685</v>
      </c>
      <c r="E290" s="16">
        <v>2.9119999999999999</v>
      </c>
      <c r="F290" s="11">
        <v>55</v>
      </c>
    </row>
    <row r="291" spans="1:6" x14ac:dyDescent="0.25">
      <c r="A291" s="9" t="s">
        <v>1123</v>
      </c>
      <c r="B291" s="9" t="s">
        <v>1121</v>
      </c>
      <c r="C291" s="9" t="s">
        <v>1106</v>
      </c>
      <c r="D291" s="10">
        <v>44692</v>
      </c>
      <c r="E291" s="16">
        <v>2.6320000000000001</v>
      </c>
      <c r="F291" s="11">
        <v>108</v>
      </c>
    </row>
    <row r="292" spans="1:6" x14ac:dyDescent="0.25">
      <c r="A292" s="9" t="s">
        <v>1123</v>
      </c>
      <c r="B292" s="9" t="s">
        <v>1121</v>
      </c>
      <c r="C292" s="9" t="s">
        <v>1125</v>
      </c>
      <c r="D292" s="10">
        <v>44642</v>
      </c>
      <c r="E292" s="16">
        <v>6.3280000000000003</v>
      </c>
      <c r="F292" s="11">
        <v>51</v>
      </c>
    </row>
    <row r="293" spans="1:6" x14ac:dyDescent="0.25">
      <c r="A293" s="9" t="s">
        <v>1138</v>
      </c>
      <c r="B293" s="9" t="s">
        <v>1124</v>
      </c>
      <c r="C293" s="9" t="s">
        <v>1134</v>
      </c>
      <c r="D293" s="10">
        <v>44783</v>
      </c>
      <c r="E293" s="16">
        <v>2.5270000000000001</v>
      </c>
      <c r="F293" s="11">
        <v>216</v>
      </c>
    </row>
    <row r="294" spans="1:6" x14ac:dyDescent="0.25">
      <c r="A294" s="9" t="s">
        <v>1138</v>
      </c>
      <c r="B294" s="9" t="s">
        <v>1121</v>
      </c>
      <c r="C294" s="9" t="s">
        <v>1137</v>
      </c>
      <c r="D294" s="10">
        <v>44685</v>
      </c>
      <c r="E294" s="16">
        <v>1.4139999999999999</v>
      </c>
      <c r="F294" s="11">
        <v>318</v>
      </c>
    </row>
    <row r="295" spans="1:6" x14ac:dyDescent="0.25">
      <c r="A295" s="9" t="s">
        <v>1144</v>
      </c>
      <c r="B295" s="9" t="s">
        <v>1121</v>
      </c>
      <c r="C295" s="9" t="s">
        <v>1113</v>
      </c>
      <c r="D295" s="10">
        <v>44791</v>
      </c>
      <c r="E295" s="16">
        <v>7.7140000000000004</v>
      </c>
      <c r="F295" s="11">
        <v>238</v>
      </c>
    </row>
    <row r="296" spans="1:6" x14ac:dyDescent="0.25">
      <c r="A296" s="9" t="s">
        <v>1149</v>
      </c>
      <c r="B296" s="9" t="s">
        <v>1124</v>
      </c>
      <c r="C296" s="9" t="s">
        <v>1146</v>
      </c>
      <c r="D296" s="10">
        <v>44776</v>
      </c>
      <c r="E296" s="16">
        <v>4.3470000000000004</v>
      </c>
      <c r="F296" s="11">
        <v>238</v>
      </c>
    </row>
    <row r="297" spans="1:6" x14ac:dyDescent="0.25">
      <c r="A297" s="9" t="s">
        <v>1128</v>
      </c>
      <c r="B297" s="9" t="s">
        <v>1116</v>
      </c>
      <c r="C297" s="9" t="s">
        <v>1132</v>
      </c>
      <c r="D297" s="10">
        <v>44575</v>
      </c>
      <c r="E297" s="16">
        <v>7.49</v>
      </c>
      <c r="F297" s="11">
        <v>315</v>
      </c>
    </row>
    <row r="298" spans="1:6" x14ac:dyDescent="0.25">
      <c r="A298" s="9" t="s">
        <v>1148</v>
      </c>
      <c r="B298" s="9" t="s">
        <v>1110</v>
      </c>
      <c r="C298" s="9" t="s">
        <v>1147</v>
      </c>
      <c r="D298" s="10">
        <v>44659</v>
      </c>
      <c r="E298" s="16">
        <v>2.0579999999999998</v>
      </c>
      <c r="F298" s="11">
        <v>72</v>
      </c>
    </row>
    <row r="299" spans="1:6" x14ac:dyDescent="0.25">
      <c r="A299" s="9" t="s">
        <v>1144</v>
      </c>
      <c r="B299" s="9" t="s">
        <v>1102</v>
      </c>
      <c r="C299" s="9" t="s">
        <v>1122</v>
      </c>
      <c r="D299" s="10">
        <v>44774</v>
      </c>
      <c r="E299" s="16">
        <v>3.64</v>
      </c>
      <c r="F299" s="11">
        <v>3</v>
      </c>
    </row>
    <row r="300" spans="1:6" x14ac:dyDescent="0.25">
      <c r="A300" s="9" t="s">
        <v>1138</v>
      </c>
      <c r="B300" s="9" t="s">
        <v>1124</v>
      </c>
      <c r="C300" s="9" t="s">
        <v>1125</v>
      </c>
      <c r="D300" s="10">
        <v>44635</v>
      </c>
      <c r="E300" s="16">
        <v>455</v>
      </c>
      <c r="F300" s="11">
        <v>45</v>
      </c>
    </row>
    <row r="301" spans="1:6" x14ac:dyDescent="0.25">
      <c r="A301" s="9" t="s">
        <v>1126</v>
      </c>
      <c r="B301" s="9" t="s">
        <v>1105</v>
      </c>
      <c r="C301" s="9" t="s">
        <v>1103</v>
      </c>
      <c r="D301" s="10">
        <v>44757</v>
      </c>
      <c r="E301" s="16">
        <v>10.99</v>
      </c>
      <c r="F301" s="11">
        <v>184</v>
      </c>
    </row>
    <row r="302" spans="1:6" x14ac:dyDescent="0.25">
      <c r="A302" s="9" t="s">
        <v>1120</v>
      </c>
      <c r="B302" s="9" t="s">
        <v>1116</v>
      </c>
      <c r="C302" s="9" t="s">
        <v>1142</v>
      </c>
      <c r="D302" s="10">
        <v>44574</v>
      </c>
      <c r="E302" s="16">
        <v>5.5579999999999998</v>
      </c>
      <c r="F302" s="11">
        <v>127</v>
      </c>
    </row>
    <row r="303" spans="1:6" x14ac:dyDescent="0.25">
      <c r="A303" s="9" t="s">
        <v>1123</v>
      </c>
      <c r="B303" s="9" t="s">
        <v>1110</v>
      </c>
      <c r="C303" s="9" t="s">
        <v>1106</v>
      </c>
      <c r="D303" s="10">
        <v>44799</v>
      </c>
      <c r="E303" s="16">
        <v>2.5409999999999999</v>
      </c>
      <c r="F303" s="11">
        <v>53</v>
      </c>
    </row>
    <row r="304" spans="1:6" x14ac:dyDescent="0.25">
      <c r="A304" s="9" t="s">
        <v>1150</v>
      </c>
      <c r="B304" s="9" t="s">
        <v>1124</v>
      </c>
      <c r="C304" s="9" t="s">
        <v>1125</v>
      </c>
      <c r="D304" s="10">
        <v>44571</v>
      </c>
      <c r="E304" s="16">
        <v>1.8759999999999999</v>
      </c>
      <c r="F304" s="11">
        <v>172</v>
      </c>
    </row>
    <row r="305" spans="1:6" x14ac:dyDescent="0.25">
      <c r="A305" s="9" t="s">
        <v>1107</v>
      </c>
      <c r="B305" s="9" t="s">
        <v>1110</v>
      </c>
      <c r="C305" s="9" t="s">
        <v>1139</v>
      </c>
      <c r="D305" s="10">
        <v>44692</v>
      </c>
      <c r="E305" s="16">
        <v>5.5229999999999997</v>
      </c>
      <c r="F305" s="11">
        <v>87</v>
      </c>
    </row>
    <row r="306" spans="1:6" x14ac:dyDescent="0.25">
      <c r="A306" s="9" t="s">
        <v>1129</v>
      </c>
      <c r="B306" s="9" t="s">
        <v>1116</v>
      </c>
      <c r="C306" s="9" t="s">
        <v>1106</v>
      </c>
      <c r="D306" s="10">
        <v>44803</v>
      </c>
      <c r="E306" s="16">
        <v>11.2</v>
      </c>
      <c r="F306" s="11">
        <v>22</v>
      </c>
    </row>
    <row r="307" spans="1:6" x14ac:dyDescent="0.25">
      <c r="A307" s="9" t="s">
        <v>1136</v>
      </c>
      <c r="B307" s="9" t="s">
        <v>1121</v>
      </c>
      <c r="C307" s="9" t="s">
        <v>1152</v>
      </c>
      <c r="D307" s="10">
        <v>44763</v>
      </c>
      <c r="E307" s="16">
        <v>5.593</v>
      </c>
      <c r="F307" s="11">
        <v>122</v>
      </c>
    </row>
    <row r="308" spans="1:6" x14ac:dyDescent="0.25">
      <c r="A308" s="9" t="s">
        <v>1123</v>
      </c>
      <c r="B308" s="9" t="s">
        <v>1110</v>
      </c>
      <c r="C308" s="9" t="s">
        <v>1142</v>
      </c>
      <c r="D308" s="10">
        <v>44774</v>
      </c>
      <c r="E308" s="16">
        <v>7.8819999999999997</v>
      </c>
      <c r="F308" s="11">
        <v>125</v>
      </c>
    </row>
    <row r="309" spans="1:6" x14ac:dyDescent="0.25">
      <c r="A309" s="9" t="s">
        <v>1118</v>
      </c>
      <c r="B309" s="9" t="s">
        <v>1124</v>
      </c>
      <c r="C309" s="9" t="s">
        <v>1106</v>
      </c>
      <c r="D309" s="10">
        <v>44609</v>
      </c>
      <c r="E309" s="16">
        <v>10.241</v>
      </c>
      <c r="F309" s="11">
        <v>259</v>
      </c>
    </row>
    <row r="310" spans="1:6" x14ac:dyDescent="0.25">
      <c r="A310" s="9" t="s">
        <v>1118</v>
      </c>
      <c r="B310" s="9" t="s">
        <v>1110</v>
      </c>
      <c r="C310" s="9" t="s">
        <v>1127</v>
      </c>
      <c r="D310" s="10">
        <v>44769</v>
      </c>
      <c r="E310" s="16">
        <v>6.8319999999999999</v>
      </c>
      <c r="F310" s="11">
        <v>156</v>
      </c>
    </row>
    <row r="311" spans="1:6" x14ac:dyDescent="0.25">
      <c r="A311" s="9" t="s">
        <v>1149</v>
      </c>
      <c r="B311" s="9" t="s">
        <v>1121</v>
      </c>
      <c r="C311" s="9" t="s">
        <v>1122</v>
      </c>
      <c r="D311" s="10">
        <v>44615</v>
      </c>
      <c r="E311" s="16">
        <v>1.379</v>
      </c>
      <c r="F311" s="11">
        <v>107</v>
      </c>
    </row>
    <row r="312" spans="1:6" x14ac:dyDescent="0.25">
      <c r="A312" s="9" t="s">
        <v>1119</v>
      </c>
      <c r="B312" s="9" t="s">
        <v>1110</v>
      </c>
      <c r="C312" s="9" t="s">
        <v>1117</v>
      </c>
      <c r="D312" s="10">
        <v>44642</v>
      </c>
      <c r="E312" s="16">
        <v>3.01</v>
      </c>
      <c r="F312" s="11">
        <v>40</v>
      </c>
    </row>
    <row r="313" spans="1:6" x14ac:dyDescent="0.25">
      <c r="A313" s="9" t="s">
        <v>1138</v>
      </c>
      <c r="B313" s="9" t="s">
        <v>1105</v>
      </c>
      <c r="C313" s="9" t="s">
        <v>1113</v>
      </c>
      <c r="D313" s="10">
        <v>44735</v>
      </c>
      <c r="E313" s="16">
        <v>6.8879999999999999</v>
      </c>
      <c r="F313" s="11">
        <v>311</v>
      </c>
    </row>
    <row r="314" spans="1:6" x14ac:dyDescent="0.25">
      <c r="A314" s="9" t="s">
        <v>1133</v>
      </c>
      <c r="B314" s="9" t="s">
        <v>1102</v>
      </c>
      <c r="C314" s="9" t="s">
        <v>1139</v>
      </c>
      <c r="D314" s="10">
        <v>44593</v>
      </c>
      <c r="E314" s="16">
        <v>1.54</v>
      </c>
      <c r="F314" s="11">
        <v>73</v>
      </c>
    </row>
    <row r="315" spans="1:6" x14ac:dyDescent="0.25">
      <c r="A315" s="9" t="s">
        <v>1144</v>
      </c>
      <c r="B315" s="9" t="s">
        <v>1110</v>
      </c>
      <c r="C315" s="9" t="s">
        <v>1115</v>
      </c>
      <c r="D315" s="10">
        <v>44622</v>
      </c>
      <c r="E315" s="16">
        <v>6.9160000000000004</v>
      </c>
      <c r="F315" s="11">
        <v>288</v>
      </c>
    </row>
    <row r="316" spans="1:6" x14ac:dyDescent="0.25">
      <c r="A316" s="9" t="s">
        <v>1107</v>
      </c>
      <c r="B316" s="9" t="s">
        <v>1102</v>
      </c>
      <c r="C316" s="9" t="s">
        <v>1137</v>
      </c>
      <c r="D316" s="10">
        <v>44657</v>
      </c>
      <c r="E316" s="16">
        <v>1.232</v>
      </c>
      <c r="F316" s="11">
        <v>86</v>
      </c>
    </row>
    <row r="317" spans="1:6" x14ac:dyDescent="0.25">
      <c r="A317" s="9" t="s">
        <v>1114</v>
      </c>
      <c r="B317" s="9" t="s">
        <v>1110</v>
      </c>
      <c r="C317" s="9" t="s">
        <v>1146</v>
      </c>
      <c r="D317" s="10">
        <v>44637</v>
      </c>
      <c r="E317" s="16">
        <v>602</v>
      </c>
      <c r="F317" s="11">
        <v>72</v>
      </c>
    </row>
    <row r="318" spans="1:6" x14ac:dyDescent="0.25">
      <c r="A318" s="9" t="s">
        <v>1133</v>
      </c>
      <c r="B318" s="9" t="s">
        <v>1102</v>
      </c>
      <c r="C318" s="9" t="s">
        <v>1137</v>
      </c>
      <c r="D318" s="10">
        <v>44736</v>
      </c>
      <c r="E318" s="16">
        <v>10.927</v>
      </c>
      <c r="F318" s="11">
        <v>136</v>
      </c>
    </row>
    <row r="319" spans="1:6" x14ac:dyDescent="0.25">
      <c r="A319" s="9" t="s">
        <v>1120</v>
      </c>
      <c r="B319" s="9" t="s">
        <v>1124</v>
      </c>
      <c r="C319" s="9" t="s">
        <v>1117</v>
      </c>
      <c r="D319" s="10">
        <v>44761</v>
      </c>
      <c r="E319" s="16">
        <v>10.185</v>
      </c>
      <c r="F319" s="11">
        <v>303</v>
      </c>
    </row>
    <row r="320" spans="1:6" x14ac:dyDescent="0.25">
      <c r="A320" s="9" t="s">
        <v>1133</v>
      </c>
      <c r="B320" s="9" t="s">
        <v>1121</v>
      </c>
      <c r="C320" s="9" t="s">
        <v>1134</v>
      </c>
      <c r="D320" s="10">
        <v>44753</v>
      </c>
      <c r="E320" s="16">
        <v>1.603</v>
      </c>
      <c r="F320" s="11">
        <v>264</v>
      </c>
    </row>
    <row r="321" spans="1:6" x14ac:dyDescent="0.25">
      <c r="A321" s="9" t="s">
        <v>1118</v>
      </c>
      <c r="B321" s="9" t="s">
        <v>1105</v>
      </c>
      <c r="C321" s="9" t="s">
        <v>1142</v>
      </c>
      <c r="D321" s="10">
        <v>44574</v>
      </c>
      <c r="E321" s="16">
        <v>2.17</v>
      </c>
      <c r="F321" s="11">
        <v>218</v>
      </c>
    </row>
    <row r="322" spans="1:6" x14ac:dyDescent="0.25">
      <c r="A322" s="9" t="s">
        <v>1112</v>
      </c>
      <c r="B322" s="9" t="s">
        <v>1116</v>
      </c>
      <c r="C322" s="9" t="s">
        <v>1111</v>
      </c>
      <c r="D322" s="10">
        <v>44749</v>
      </c>
      <c r="E322" s="16">
        <v>8.673</v>
      </c>
      <c r="F322" s="11">
        <v>60</v>
      </c>
    </row>
    <row r="323" spans="1:6" x14ac:dyDescent="0.25">
      <c r="A323" s="9" t="s">
        <v>1109</v>
      </c>
      <c r="B323" s="9" t="s">
        <v>1105</v>
      </c>
      <c r="C323" s="9" t="s">
        <v>1106</v>
      </c>
      <c r="D323" s="10">
        <v>44706</v>
      </c>
      <c r="E323" s="16">
        <v>4.76</v>
      </c>
      <c r="F323" s="11">
        <v>418</v>
      </c>
    </row>
    <row r="324" spans="1:6" x14ac:dyDescent="0.25">
      <c r="A324" s="9" t="s">
        <v>1128</v>
      </c>
      <c r="B324" s="9" t="s">
        <v>1105</v>
      </c>
      <c r="C324" s="9" t="s">
        <v>1137</v>
      </c>
      <c r="D324" s="10">
        <v>44664</v>
      </c>
      <c r="E324" s="16">
        <v>4.7530000000000001</v>
      </c>
      <c r="F324" s="11">
        <v>151</v>
      </c>
    </row>
    <row r="325" spans="1:6" x14ac:dyDescent="0.25">
      <c r="A325" s="9" t="s">
        <v>1143</v>
      </c>
      <c r="B325" s="9" t="s">
        <v>1116</v>
      </c>
      <c r="C325" s="9" t="s">
        <v>1117</v>
      </c>
      <c r="D325" s="10">
        <v>44622</v>
      </c>
      <c r="E325" s="16">
        <v>3.3740000000000001</v>
      </c>
      <c r="F325" s="11">
        <v>202</v>
      </c>
    </row>
    <row r="326" spans="1:6" x14ac:dyDescent="0.25">
      <c r="A326" s="9" t="s">
        <v>1114</v>
      </c>
      <c r="B326" s="9" t="s">
        <v>1124</v>
      </c>
      <c r="C326" s="9" t="s">
        <v>1146</v>
      </c>
      <c r="D326" s="10">
        <v>44735</v>
      </c>
      <c r="E326" s="16">
        <v>2.0579999999999998</v>
      </c>
      <c r="F326" s="11">
        <v>126</v>
      </c>
    </row>
    <row r="327" spans="1:6" x14ac:dyDescent="0.25">
      <c r="A327" s="9" t="s">
        <v>1144</v>
      </c>
      <c r="B327" s="9" t="s">
        <v>1121</v>
      </c>
      <c r="C327" s="9" t="s">
        <v>1127</v>
      </c>
      <c r="D327" s="10">
        <v>44768</v>
      </c>
      <c r="E327" s="16">
        <v>6.4539999999999997</v>
      </c>
      <c r="F327" s="11">
        <v>160</v>
      </c>
    </row>
    <row r="328" spans="1:6" x14ac:dyDescent="0.25">
      <c r="A328" s="9" t="s">
        <v>1104</v>
      </c>
      <c r="B328" s="9" t="s">
        <v>1124</v>
      </c>
      <c r="C328" s="9" t="s">
        <v>1139</v>
      </c>
      <c r="D328" s="10">
        <v>44642</v>
      </c>
      <c r="E328" s="16">
        <v>420</v>
      </c>
      <c r="F328" s="11">
        <v>3</v>
      </c>
    </row>
    <row r="329" spans="1:6" x14ac:dyDescent="0.25">
      <c r="A329" s="9" t="s">
        <v>1119</v>
      </c>
      <c r="B329" s="9" t="s">
        <v>1121</v>
      </c>
      <c r="C329" s="9" t="s">
        <v>1151</v>
      </c>
      <c r="D329" s="10">
        <v>44721</v>
      </c>
      <c r="E329" s="16">
        <v>2.863</v>
      </c>
      <c r="F329" s="11">
        <v>58</v>
      </c>
    </row>
    <row r="330" spans="1:6" x14ac:dyDescent="0.25">
      <c r="A330" s="9" t="s">
        <v>1104</v>
      </c>
      <c r="B330" s="9" t="s">
        <v>1110</v>
      </c>
      <c r="C330" s="9" t="s">
        <v>1152</v>
      </c>
      <c r="D330" s="10">
        <v>44698</v>
      </c>
      <c r="E330" s="16">
        <v>5.9359999999999999</v>
      </c>
      <c r="F330" s="11">
        <v>59</v>
      </c>
    </row>
    <row r="331" spans="1:6" x14ac:dyDescent="0.25">
      <c r="A331" s="9" t="s">
        <v>1150</v>
      </c>
      <c r="B331" s="9" t="s">
        <v>1116</v>
      </c>
      <c r="C331" s="9" t="s">
        <v>1108</v>
      </c>
      <c r="D331" s="10">
        <v>44624</v>
      </c>
      <c r="E331" s="16">
        <v>889</v>
      </c>
      <c r="F331" s="11">
        <v>273</v>
      </c>
    </row>
    <row r="332" spans="1:6" x14ac:dyDescent="0.25">
      <c r="A332" s="9" t="s">
        <v>1144</v>
      </c>
      <c r="B332" s="9" t="s">
        <v>1124</v>
      </c>
      <c r="C332" s="9" t="s">
        <v>1132</v>
      </c>
      <c r="D332" s="10">
        <v>44749</v>
      </c>
      <c r="E332" s="16">
        <v>16.015999999999998</v>
      </c>
      <c r="F332" s="11">
        <v>28</v>
      </c>
    </row>
    <row r="333" spans="1:6" x14ac:dyDescent="0.25">
      <c r="A333" s="9" t="s">
        <v>1138</v>
      </c>
      <c r="B333" s="9" t="s">
        <v>1124</v>
      </c>
      <c r="C333" s="9" t="s">
        <v>1147</v>
      </c>
      <c r="D333" s="10">
        <v>44574</v>
      </c>
      <c r="E333" s="16">
        <v>10.478999999999999</v>
      </c>
      <c r="F333" s="11">
        <v>118</v>
      </c>
    </row>
    <row r="334" spans="1:6" x14ac:dyDescent="0.25">
      <c r="A334" s="9" t="s">
        <v>1133</v>
      </c>
      <c r="B334" s="9" t="s">
        <v>1110</v>
      </c>
      <c r="C334" s="9" t="s">
        <v>1142</v>
      </c>
      <c r="D334" s="10">
        <v>44755</v>
      </c>
      <c r="E334" s="16">
        <v>2.9119999999999999</v>
      </c>
      <c r="F334" s="11">
        <v>75</v>
      </c>
    </row>
    <row r="335" spans="1:6" x14ac:dyDescent="0.25">
      <c r="A335" s="9" t="s">
        <v>1148</v>
      </c>
      <c r="B335" s="9" t="s">
        <v>1110</v>
      </c>
      <c r="C335" s="9" t="s">
        <v>1106</v>
      </c>
      <c r="D335" s="10">
        <v>44728</v>
      </c>
      <c r="E335" s="16">
        <v>1.575</v>
      </c>
      <c r="F335" s="11">
        <v>329</v>
      </c>
    </row>
    <row r="336" spans="1:6" x14ac:dyDescent="0.25">
      <c r="A336" s="9" t="s">
        <v>1107</v>
      </c>
      <c r="B336" s="9" t="s">
        <v>1102</v>
      </c>
      <c r="C336" s="9" t="s">
        <v>1117</v>
      </c>
      <c r="D336" s="10">
        <v>44760</v>
      </c>
      <c r="E336" s="16">
        <v>8.1969999999999992</v>
      </c>
      <c r="F336" s="11">
        <v>69</v>
      </c>
    </row>
    <row r="337" spans="1:6" x14ac:dyDescent="0.25">
      <c r="A337" s="9" t="s">
        <v>1150</v>
      </c>
      <c r="B337" s="9" t="s">
        <v>1102</v>
      </c>
      <c r="C337" s="9" t="s">
        <v>1140</v>
      </c>
      <c r="D337" s="10">
        <v>44711</v>
      </c>
      <c r="E337" s="16">
        <v>4.2210000000000001</v>
      </c>
      <c r="F337" s="11">
        <v>395</v>
      </c>
    </row>
    <row r="338" spans="1:6" x14ac:dyDescent="0.25">
      <c r="A338" s="9" t="s">
        <v>1107</v>
      </c>
      <c r="B338" s="9" t="s">
        <v>1102</v>
      </c>
      <c r="C338" s="9" t="s">
        <v>1153</v>
      </c>
      <c r="D338" s="10">
        <v>44733</v>
      </c>
      <c r="E338" s="16">
        <v>840</v>
      </c>
      <c r="F338" s="11">
        <v>81</v>
      </c>
    </row>
    <row r="339" spans="1:6" x14ac:dyDescent="0.25">
      <c r="A339" s="9" t="s">
        <v>1101</v>
      </c>
      <c r="B339" s="9" t="s">
        <v>1110</v>
      </c>
      <c r="C339" s="9" t="s">
        <v>1108</v>
      </c>
      <c r="D339" s="10">
        <v>44736</v>
      </c>
      <c r="E339" s="16">
        <v>5.6909999999999998</v>
      </c>
      <c r="F339" s="11">
        <v>38</v>
      </c>
    </row>
    <row r="340" spans="1:6" x14ac:dyDescent="0.25">
      <c r="A340" s="9" t="s">
        <v>1128</v>
      </c>
      <c r="B340" s="9" t="s">
        <v>1105</v>
      </c>
      <c r="C340" s="9" t="s">
        <v>1125</v>
      </c>
      <c r="D340" s="10">
        <v>44574</v>
      </c>
      <c r="E340" s="16">
        <v>3.472</v>
      </c>
      <c r="F340" s="11">
        <v>96</v>
      </c>
    </row>
    <row r="341" spans="1:6" x14ac:dyDescent="0.25">
      <c r="A341" s="9" t="s">
        <v>1133</v>
      </c>
      <c r="B341" s="9" t="s">
        <v>1124</v>
      </c>
      <c r="C341" s="9" t="s">
        <v>1137</v>
      </c>
      <c r="D341" s="10">
        <v>44655</v>
      </c>
      <c r="E341" s="16">
        <v>4.1929999999999996</v>
      </c>
      <c r="F341" s="11">
        <v>195</v>
      </c>
    </row>
    <row r="342" spans="1:6" x14ac:dyDescent="0.25">
      <c r="A342" s="9" t="s">
        <v>1136</v>
      </c>
      <c r="B342" s="9" t="s">
        <v>1102</v>
      </c>
      <c r="C342" s="9" t="s">
        <v>1111</v>
      </c>
      <c r="D342" s="10">
        <v>44720</v>
      </c>
      <c r="E342" s="16">
        <v>9.016</v>
      </c>
      <c r="F342" s="11">
        <v>554</v>
      </c>
    </row>
    <row r="343" spans="1:6" x14ac:dyDescent="0.25">
      <c r="A343" s="9" t="s">
        <v>1126</v>
      </c>
      <c r="B343" s="9" t="s">
        <v>1124</v>
      </c>
      <c r="C343" s="9" t="s">
        <v>1134</v>
      </c>
      <c r="D343" s="10">
        <v>44775</v>
      </c>
      <c r="E343" s="16">
        <v>6.3280000000000003</v>
      </c>
      <c r="F343" s="11">
        <v>47</v>
      </c>
    </row>
    <row r="344" spans="1:6" x14ac:dyDescent="0.25">
      <c r="A344" s="9" t="s">
        <v>1144</v>
      </c>
      <c r="B344" s="9" t="s">
        <v>1121</v>
      </c>
      <c r="C344" s="9" t="s">
        <v>1130</v>
      </c>
      <c r="D344" s="10">
        <v>44763</v>
      </c>
      <c r="E344" s="16">
        <v>9.8699999999999992</v>
      </c>
      <c r="F344" s="11">
        <v>152</v>
      </c>
    </row>
    <row r="345" spans="1:6" x14ac:dyDescent="0.25">
      <c r="A345" s="9" t="s">
        <v>1133</v>
      </c>
      <c r="B345" s="9" t="s">
        <v>1105</v>
      </c>
      <c r="C345" s="9" t="s">
        <v>1134</v>
      </c>
      <c r="D345" s="10">
        <v>44732</v>
      </c>
      <c r="E345" s="16">
        <v>161</v>
      </c>
      <c r="F345" s="11">
        <v>134</v>
      </c>
    </row>
    <row r="346" spans="1:6" x14ac:dyDescent="0.25">
      <c r="A346" s="9" t="s">
        <v>1131</v>
      </c>
      <c r="B346" s="9" t="s">
        <v>1105</v>
      </c>
      <c r="C346" s="9" t="s">
        <v>1115</v>
      </c>
      <c r="D346" s="10">
        <v>44734</v>
      </c>
      <c r="E346" s="16">
        <v>2.5760000000000001</v>
      </c>
      <c r="F346" s="11">
        <v>112</v>
      </c>
    </row>
    <row r="347" spans="1:6" x14ac:dyDescent="0.25">
      <c r="A347" s="9" t="s">
        <v>1145</v>
      </c>
      <c r="B347" s="9" t="s">
        <v>1110</v>
      </c>
      <c r="C347" s="9" t="s">
        <v>1152</v>
      </c>
      <c r="D347" s="10">
        <v>44683</v>
      </c>
      <c r="E347" s="16">
        <v>3.1779999999999999</v>
      </c>
      <c r="F347" s="11">
        <v>16</v>
      </c>
    </row>
    <row r="348" spans="1:6" x14ac:dyDescent="0.25">
      <c r="A348" s="9" t="s">
        <v>1133</v>
      </c>
      <c r="B348" s="9" t="s">
        <v>1110</v>
      </c>
      <c r="C348" s="9" t="s">
        <v>1113</v>
      </c>
      <c r="D348" s="10">
        <v>44568</v>
      </c>
      <c r="E348" s="16">
        <v>4.6760000000000002</v>
      </c>
      <c r="F348" s="11">
        <v>84</v>
      </c>
    </row>
    <row r="349" spans="1:6" x14ac:dyDescent="0.25">
      <c r="A349" s="9" t="s">
        <v>1123</v>
      </c>
      <c r="B349" s="9" t="s">
        <v>1102</v>
      </c>
      <c r="C349" s="9" t="s">
        <v>1117</v>
      </c>
      <c r="D349" s="10">
        <v>44613</v>
      </c>
      <c r="E349" s="16">
        <v>5.5019999999999998</v>
      </c>
      <c r="F349" s="11">
        <v>99</v>
      </c>
    </row>
    <row r="350" spans="1:6" x14ac:dyDescent="0.25">
      <c r="A350" s="9" t="s">
        <v>1150</v>
      </c>
      <c r="B350" s="9" t="s">
        <v>1124</v>
      </c>
      <c r="C350" s="9" t="s">
        <v>1151</v>
      </c>
      <c r="D350" s="10">
        <v>44641</v>
      </c>
      <c r="E350" s="16">
        <v>7.4619999999999997</v>
      </c>
      <c r="F350" s="11">
        <v>371</v>
      </c>
    </row>
    <row r="351" spans="1:6" x14ac:dyDescent="0.25">
      <c r="A351" s="9" t="s">
        <v>1104</v>
      </c>
      <c r="B351" s="9" t="s">
        <v>1102</v>
      </c>
      <c r="C351" s="9" t="s">
        <v>1127</v>
      </c>
      <c r="D351" s="10">
        <v>44655</v>
      </c>
      <c r="E351" s="16">
        <v>5.8029999999999999</v>
      </c>
      <c r="F351" s="11">
        <v>136</v>
      </c>
    </row>
    <row r="352" spans="1:6" x14ac:dyDescent="0.25">
      <c r="A352" s="9" t="s">
        <v>1114</v>
      </c>
      <c r="B352" s="9" t="s">
        <v>1124</v>
      </c>
      <c r="C352" s="9" t="s">
        <v>1137</v>
      </c>
      <c r="D352" s="10">
        <v>44644</v>
      </c>
      <c r="E352" s="16">
        <v>13.888</v>
      </c>
      <c r="F352" s="11">
        <v>203</v>
      </c>
    </row>
    <row r="353" spans="1:6" x14ac:dyDescent="0.25">
      <c r="A353" s="9" t="s">
        <v>1114</v>
      </c>
      <c r="B353" s="9" t="s">
        <v>1116</v>
      </c>
      <c r="C353" s="9" t="s">
        <v>1134</v>
      </c>
      <c r="D353" s="10">
        <v>44740</v>
      </c>
      <c r="E353" s="16">
        <v>6.867</v>
      </c>
      <c r="F353" s="11">
        <v>183</v>
      </c>
    </row>
    <row r="354" spans="1:6" x14ac:dyDescent="0.25">
      <c r="A354" s="9" t="s">
        <v>1114</v>
      </c>
      <c r="B354" s="9" t="s">
        <v>1110</v>
      </c>
      <c r="C354" s="9" t="s">
        <v>1127</v>
      </c>
      <c r="D354" s="10">
        <v>44575</v>
      </c>
      <c r="E354" s="16">
        <v>2.3170000000000002</v>
      </c>
      <c r="F354" s="11">
        <v>195</v>
      </c>
    </row>
    <row r="355" spans="1:6" x14ac:dyDescent="0.25">
      <c r="A355" s="9" t="s">
        <v>1126</v>
      </c>
      <c r="B355" s="9" t="s">
        <v>1116</v>
      </c>
      <c r="C355" s="9" t="s">
        <v>1137</v>
      </c>
      <c r="D355" s="10">
        <v>44599</v>
      </c>
      <c r="E355" s="16">
        <v>1.218</v>
      </c>
      <c r="F355" s="11">
        <v>135</v>
      </c>
    </row>
    <row r="356" spans="1:6" x14ac:dyDescent="0.25">
      <c r="A356" s="9" t="s">
        <v>1138</v>
      </c>
      <c r="B356" s="9" t="s">
        <v>1116</v>
      </c>
      <c r="C356" s="9" t="s">
        <v>1127</v>
      </c>
      <c r="D356" s="10">
        <v>44572</v>
      </c>
      <c r="E356" s="16">
        <v>4.109</v>
      </c>
      <c r="F356" s="11">
        <v>197</v>
      </c>
    </row>
    <row r="357" spans="1:6" x14ac:dyDescent="0.25">
      <c r="A357" s="9" t="s">
        <v>1101</v>
      </c>
      <c r="B357" s="9" t="s">
        <v>1105</v>
      </c>
      <c r="C357" s="9" t="s">
        <v>1113</v>
      </c>
      <c r="D357" s="10">
        <v>44617</v>
      </c>
      <c r="E357" s="16">
        <v>1.9530000000000001</v>
      </c>
      <c r="F357" s="11">
        <v>242</v>
      </c>
    </row>
    <row r="358" spans="1:6" x14ac:dyDescent="0.25">
      <c r="A358" s="9" t="s">
        <v>1149</v>
      </c>
      <c r="B358" s="9" t="s">
        <v>1110</v>
      </c>
      <c r="C358" s="9" t="s">
        <v>1103</v>
      </c>
      <c r="D358" s="10">
        <v>44774</v>
      </c>
      <c r="E358" s="16">
        <v>6.79</v>
      </c>
      <c r="F358" s="11">
        <v>25</v>
      </c>
    </row>
    <row r="359" spans="1:6" x14ac:dyDescent="0.25">
      <c r="A359" s="9" t="s">
        <v>1131</v>
      </c>
      <c r="B359" s="9" t="s">
        <v>1110</v>
      </c>
      <c r="C359" s="9" t="s">
        <v>1103</v>
      </c>
      <c r="D359" s="10">
        <v>44686</v>
      </c>
      <c r="E359" s="16">
        <v>6.7969999999999997</v>
      </c>
      <c r="F359" s="11">
        <v>252</v>
      </c>
    </row>
    <row r="360" spans="1:6" x14ac:dyDescent="0.25">
      <c r="A360" s="9" t="s">
        <v>1148</v>
      </c>
      <c r="B360" s="9" t="s">
        <v>1116</v>
      </c>
      <c r="C360" s="9" t="s">
        <v>1146</v>
      </c>
      <c r="D360" s="10">
        <v>44699</v>
      </c>
      <c r="E360" s="16">
        <v>9.2260000000000009</v>
      </c>
      <c r="F360" s="11">
        <v>415</v>
      </c>
    </row>
    <row r="361" spans="1:6" x14ac:dyDescent="0.25">
      <c r="A361" s="9" t="s">
        <v>1149</v>
      </c>
      <c r="B361" s="9" t="s">
        <v>1116</v>
      </c>
      <c r="C361" s="9" t="s">
        <v>1147</v>
      </c>
      <c r="D361" s="10">
        <v>44565</v>
      </c>
      <c r="E361" s="16">
        <v>5.7329999999999997</v>
      </c>
      <c r="F361" s="11">
        <v>348</v>
      </c>
    </row>
    <row r="362" spans="1:6" x14ac:dyDescent="0.25">
      <c r="A362" s="9" t="s">
        <v>1131</v>
      </c>
      <c r="B362" s="9" t="s">
        <v>1116</v>
      </c>
      <c r="C362" s="9" t="s">
        <v>1117</v>
      </c>
      <c r="D362" s="10">
        <v>44690</v>
      </c>
      <c r="E362" s="16">
        <v>4.3120000000000003</v>
      </c>
      <c r="F362" s="11">
        <v>211</v>
      </c>
    </row>
    <row r="363" spans="1:6" x14ac:dyDescent="0.25">
      <c r="A363" s="9" t="s">
        <v>1119</v>
      </c>
      <c r="B363" s="9" t="s">
        <v>1105</v>
      </c>
      <c r="C363" s="9" t="s">
        <v>1111</v>
      </c>
      <c r="D363" s="10">
        <v>44687</v>
      </c>
      <c r="E363" s="16">
        <v>1.6379999999999999</v>
      </c>
      <c r="F363" s="11">
        <v>81</v>
      </c>
    </row>
    <row r="364" spans="1:6" x14ac:dyDescent="0.25">
      <c r="A364" s="9" t="s">
        <v>1135</v>
      </c>
      <c r="B364" s="9" t="s">
        <v>1102</v>
      </c>
      <c r="C364" s="9" t="s">
        <v>1139</v>
      </c>
      <c r="D364" s="10">
        <v>44574</v>
      </c>
      <c r="E364" s="16">
        <v>10.815</v>
      </c>
      <c r="F364" s="11">
        <v>145</v>
      </c>
    </row>
    <row r="365" spans="1:6" x14ac:dyDescent="0.25">
      <c r="A365" s="9" t="s">
        <v>1131</v>
      </c>
      <c r="B365" s="9" t="s">
        <v>1110</v>
      </c>
      <c r="C365" s="9" t="s">
        <v>1142</v>
      </c>
      <c r="D365" s="10">
        <v>44736</v>
      </c>
      <c r="E365" s="16">
        <v>4.4660000000000002</v>
      </c>
      <c r="F365" s="11">
        <v>74</v>
      </c>
    </row>
    <row r="366" spans="1:6" x14ac:dyDescent="0.25">
      <c r="A366" s="9" t="s">
        <v>1104</v>
      </c>
      <c r="B366" s="9" t="s">
        <v>1121</v>
      </c>
      <c r="C366" s="9" t="s">
        <v>1152</v>
      </c>
      <c r="D366" s="10">
        <v>44606</v>
      </c>
      <c r="E366" s="16">
        <v>987</v>
      </c>
      <c r="F366" s="11">
        <v>21</v>
      </c>
    </row>
    <row r="367" spans="1:6" x14ac:dyDescent="0.25">
      <c r="A367" s="9" t="s">
        <v>1145</v>
      </c>
      <c r="B367" s="9" t="s">
        <v>1110</v>
      </c>
      <c r="C367" s="9" t="s">
        <v>1113</v>
      </c>
      <c r="D367" s="10">
        <v>44579</v>
      </c>
      <c r="E367" s="16">
        <v>4.6689999999999996</v>
      </c>
      <c r="F367" s="11">
        <v>101</v>
      </c>
    </row>
    <row r="368" spans="1:6" x14ac:dyDescent="0.25">
      <c r="A368" s="9" t="s">
        <v>1136</v>
      </c>
      <c r="B368" s="9" t="s">
        <v>1105</v>
      </c>
      <c r="C368" s="9" t="s">
        <v>1132</v>
      </c>
      <c r="D368" s="10">
        <v>44683</v>
      </c>
      <c r="E368" s="16">
        <v>2.9049999999999998</v>
      </c>
      <c r="F368" s="11">
        <v>91</v>
      </c>
    </row>
    <row r="369" spans="1:6" x14ac:dyDescent="0.25">
      <c r="A369" s="9" t="s">
        <v>1150</v>
      </c>
      <c r="B369" s="9" t="s">
        <v>1110</v>
      </c>
      <c r="C369" s="9" t="s">
        <v>1111</v>
      </c>
      <c r="D369" s="10">
        <v>44697</v>
      </c>
      <c r="E369" s="16">
        <v>7.49</v>
      </c>
      <c r="F369" s="11">
        <v>54</v>
      </c>
    </row>
    <row r="370" spans="1:6" x14ac:dyDescent="0.25">
      <c r="A370" s="9" t="s">
        <v>1123</v>
      </c>
      <c r="B370" s="9" t="s">
        <v>1121</v>
      </c>
      <c r="C370" s="9" t="s">
        <v>1142</v>
      </c>
      <c r="D370" s="10">
        <v>44589</v>
      </c>
      <c r="E370" s="16">
        <v>6.9859999999999998</v>
      </c>
      <c r="F370" s="11">
        <v>368</v>
      </c>
    </row>
    <row r="371" spans="1:6" x14ac:dyDescent="0.25">
      <c r="A371" s="9" t="s">
        <v>1136</v>
      </c>
      <c r="B371" s="9" t="s">
        <v>1124</v>
      </c>
      <c r="C371" s="9" t="s">
        <v>1113</v>
      </c>
      <c r="D371" s="10">
        <v>44736</v>
      </c>
      <c r="E371" s="16">
        <v>1.288</v>
      </c>
      <c r="F371" s="11">
        <v>409</v>
      </c>
    </row>
    <row r="372" spans="1:6" x14ac:dyDescent="0.25">
      <c r="A372" s="9" t="s">
        <v>1112</v>
      </c>
      <c r="B372" s="9" t="s">
        <v>1102</v>
      </c>
      <c r="C372" s="9" t="s">
        <v>1115</v>
      </c>
      <c r="D372" s="10">
        <v>44760</v>
      </c>
      <c r="E372" s="16">
        <v>2.3450000000000002</v>
      </c>
      <c r="F372" s="11">
        <v>104</v>
      </c>
    </row>
    <row r="373" spans="1:6" x14ac:dyDescent="0.25">
      <c r="A373" s="9" t="s">
        <v>1114</v>
      </c>
      <c r="B373" s="9" t="s">
        <v>1102</v>
      </c>
      <c r="C373" s="9" t="s">
        <v>1125</v>
      </c>
      <c r="D373" s="10">
        <v>44664</v>
      </c>
      <c r="E373" s="16">
        <v>3.6190000000000002</v>
      </c>
      <c r="F373" s="11">
        <v>164</v>
      </c>
    </row>
    <row r="374" spans="1:6" x14ac:dyDescent="0.25">
      <c r="A374" s="9" t="s">
        <v>1149</v>
      </c>
      <c r="B374" s="9" t="s">
        <v>1121</v>
      </c>
      <c r="C374" s="9" t="s">
        <v>1152</v>
      </c>
      <c r="D374" s="10">
        <v>44666</v>
      </c>
      <c r="E374" s="16">
        <v>16.981999999999999</v>
      </c>
      <c r="F374" s="11">
        <v>76</v>
      </c>
    </row>
    <row r="375" spans="1:6" x14ac:dyDescent="0.25">
      <c r="A375" s="9" t="s">
        <v>1109</v>
      </c>
      <c r="B375" s="9" t="s">
        <v>1105</v>
      </c>
      <c r="C375" s="9" t="s">
        <v>1108</v>
      </c>
      <c r="D375" s="10">
        <v>44565</v>
      </c>
      <c r="E375" s="16">
        <v>8.0920000000000005</v>
      </c>
      <c r="F375" s="11">
        <v>178</v>
      </c>
    </row>
    <row r="376" spans="1:6" x14ac:dyDescent="0.25">
      <c r="A376" s="9" t="s">
        <v>1135</v>
      </c>
      <c r="B376" s="9" t="s">
        <v>1110</v>
      </c>
      <c r="C376" s="9" t="s">
        <v>1125</v>
      </c>
      <c r="D376" s="10">
        <v>44746</v>
      </c>
      <c r="E376" s="16">
        <v>6.9930000000000003</v>
      </c>
      <c r="F376" s="11">
        <v>31</v>
      </c>
    </row>
    <row r="377" spans="1:6" x14ac:dyDescent="0.25">
      <c r="A377" s="9" t="s">
        <v>1129</v>
      </c>
      <c r="B377" s="9" t="s">
        <v>1121</v>
      </c>
      <c r="C377" s="9" t="s">
        <v>1111</v>
      </c>
      <c r="D377" s="10">
        <v>44644</v>
      </c>
      <c r="E377" s="16">
        <v>2.3170000000000002</v>
      </c>
      <c r="F377" s="11">
        <v>352</v>
      </c>
    </row>
    <row r="378" spans="1:6" x14ac:dyDescent="0.25">
      <c r="A378" s="9" t="s">
        <v>1145</v>
      </c>
      <c r="B378" s="9" t="s">
        <v>1110</v>
      </c>
      <c r="C378" s="9" t="s">
        <v>1140</v>
      </c>
      <c r="D378" s="10">
        <v>44637</v>
      </c>
      <c r="E378" s="16">
        <v>637</v>
      </c>
      <c r="F378" s="11">
        <v>169</v>
      </c>
    </row>
    <row r="379" spans="1:6" x14ac:dyDescent="0.25">
      <c r="A379" s="9" t="s">
        <v>1112</v>
      </c>
      <c r="B379" s="9" t="s">
        <v>1110</v>
      </c>
      <c r="C379" s="9" t="s">
        <v>1142</v>
      </c>
      <c r="D379" s="10">
        <v>44607</v>
      </c>
      <c r="E379" s="16">
        <v>6.0339999999999998</v>
      </c>
      <c r="F379" s="11">
        <v>223</v>
      </c>
    </row>
    <row r="380" spans="1:6" x14ac:dyDescent="0.25">
      <c r="A380" s="9" t="s">
        <v>1109</v>
      </c>
      <c r="B380" s="9" t="s">
        <v>1121</v>
      </c>
      <c r="C380" s="9" t="s">
        <v>1122</v>
      </c>
      <c r="D380" s="10">
        <v>44741</v>
      </c>
      <c r="E380" s="16">
        <v>980</v>
      </c>
      <c r="F380" s="11">
        <v>146</v>
      </c>
    </row>
    <row r="381" spans="1:6" x14ac:dyDescent="0.25">
      <c r="A381" s="9" t="s">
        <v>1107</v>
      </c>
      <c r="B381" s="9" t="s">
        <v>1121</v>
      </c>
      <c r="C381" s="9" t="s">
        <v>1137</v>
      </c>
      <c r="D381" s="10">
        <v>44705</v>
      </c>
      <c r="E381" s="16">
        <v>2.8210000000000002</v>
      </c>
      <c r="F381" s="11">
        <v>112</v>
      </c>
    </row>
    <row r="382" spans="1:6" x14ac:dyDescent="0.25">
      <c r="A382" s="9" t="s">
        <v>1123</v>
      </c>
      <c r="B382" s="9" t="s">
        <v>1102</v>
      </c>
      <c r="C382" s="9" t="s">
        <v>1132</v>
      </c>
      <c r="D382" s="10">
        <v>44571</v>
      </c>
      <c r="E382" s="16">
        <v>3.5630000000000002</v>
      </c>
      <c r="F382" s="11">
        <v>284</v>
      </c>
    </row>
    <row r="383" spans="1:6" x14ac:dyDescent="0.25">
      <c r="A383" s="9" t="s">
        <v>1133</v>
      </c>
      <c r="B383" s="9" t="s">
        <v>1121</v>
      </c>
      <c r="C383" s="9" t="s">
        <v>1146</v>
      </c>
      <c r="D383" s="10">
        <v>44635</v>
      </c>
      <c r="E383" s="16">
        <v>2.996</v>
      </c>
      <c r="F383" s="11">
        <v>139</v>
      </c>
    </row>
    <row r="384" spans="1:6" x14ac:dyDescent="0.25">
      <c r="A384" s="9" t="s">
        <v>1128</v>
      </c>
      <c r="B384" s="9" t="s">
        <v>1124</v>
      </c>
      <c r="C384" s="9" t="s">
        <v>1132</v>
      </c>
      <c r="D384" s="10">
        <v>44600</v>
      </c>
      <c r="E384" s="16">
        <v>2.4359999999999999</v>
      </c>
      <c r="F384" s="11">
        <v>309</v>
      </c>
    </row>
    <row r="385" spans="1:6" x14ac:dyDescent="0.25">
      <c r="A385" s="9" t="s">
        <v>1118</v>
      </c>
      <c r="B385" s="9" t="s">
        <v>1105</v>
      </c>
      <c r="C385" s="9" t="s">
        <v>1152</v>
      </c>
      <c r="D385" s="10">
        <v>44617</v>
      </c>
      <c r="E385" s="16">
        <v>1.54</v>
      </c>
      <c r="F385" s="11">
        <v>100</v>
      </c>
    </row>
    <row r="386" spans="1:6" x14ac:dyDescent="0.25">
      <c r="A386" s="9" t="s">
        <v>1114</v>
      </c>
      <c r="B386" s="9" t="s">
        <v>1121</v>
      </c>
      <c r="C386" s="9" t="s">
        <v>1125</v>
      </c>
      <c r="D386" s="10">
        <v>44684</v>
      </c>
      <c r="E386" s="16">
        <v>6.9160000000000004</v>
      </c>
      <c r="F386" s="11">
        <v>42</v>
      </c>
    </row>
    <row r="387" spans="1:6" x14ac:dyDescent="0.25">
      <c r="A387" s="9" t="s">
        <v>1131</v>
      </c>
      <c r="B387" s="9" t="s">
        <v>1121</v>
      </c>
      <c r="C387" s="9" t="s">
        <v>1137</v>
      </c>
      <c r="D387" s="10">
        <v>44726</v>
      </c>
      <c r="E387" s="16">
        <v>5.5090000000000003</v>
      </c>
      <c r="F387" s="11">
        <v>24</v>
      </c>
    </row>
    <row r="388" spans="1:6" x14ac:dyDescent="0.25">
      <c r="A388" s="9" t="s">
        <v>1114</v>
      </c>
      <c r="B388" s="9" t="s">
        <v>1105</v>
      </c>
      <c r="C388" s="9" t="s">
        <v>1117</v>
      </c>
      <c r="D388" s="10">
        <v>44782</v>
      </c>
      <c r="E388" s="16">
        <v>12.992000000000001</v>
      </c>
      <c r="F388" s="11">
        <v>83</v>
      </c>
    </row>
    <row r="389" spans="1:6" x14ac:dyDescent="0.25">
      <c r="A389" s="9" t="s">
        <v>1141</v>
      </c>
      <c r="B389" s="9" t="s">
        <v>1116</v>
      </c>
      <c r="C389" s="9" t="s">
        <v>1140</v>
      </c>
      <c r="D389" s="10">
        <v>44753</v>
      </c>
      <c r="E389" s="16">
        <v>3.7240000000000002</v>
      </c>
      <c r="F389" s="11">
        <v>234</v>
      </c>
    </row>
    <row r="390" spans="1:6" x14ac:dyDescent="0.25">
      <c r="A390" s="9" t="s">
        <v>1136</v>
      </c>
      <c r="B390" s="9" t="s">
        <v>1102</v>
      </c>
      <c r="C390" s="9" t="s">
        <v>1140</v>
      </c>
      <c r="D390" s="10">
        <v>44575</v>
      </c>
      <c r="E390" s="16">
        <v>7.133</v>
      </c>
      <c r="F390" s="11">
        <v>118</v>
      </c>
    </row>
    <row r="391" spans="1:6" x14ac:dyDescent="0.25">
      <c r="A391" s="9" t="s">
        <v>1104</v>
      </c>
      <c r="B391" s="9" t="s">
        <v>1124</v>
      </c>
      <c r="C391" s="9" t="s">
        <v>1140</v>
      </c>
      <c r="D391" s="10">
        <v>44616</v>
      </c>
      <c r="E391" s="16">
        <v>8.6170000000000009</v>
      </c>
      <c r="F391" s="11">
        <v>46</v>
      </c>
    </row>
    <row r="392" spans="1:6" x14ac:dyDescent="0.25">
      <c r="A392" s="9" t="s">
        <v>1141</v>
      </c>
      <c r="B392" s="9" t="s">
        <v>1116</v>
      </c>
      <c r="C392" s="9" t="s">
        <v>1142</v>
      </c>
      <c r="D392" s="10">
        <v>44635</v>
      </c>
      <c r="E392" s="16">
        <v>9.1980000000000004</v>
      </c>
      <c r="F392" s="11">
        <v>144</v>
      </c>
    </row>
    <row r="393" spans="1:6" x14ac:dyDescent="0.25">
      <c r="A393" s="9" t="s">
        <v>1112</v>
      </c>
      <c r="B393" s="9" t="s">
        <v>1116</v>
      </c>
      <c r="C393" s="9" t="s">
        <v>1151</v>
      </c>
      <c r="D393" s="10">
        <v>44676</v>
      </c>
      <c r="E393" s="16">
        <v>11.823</v>
      </c>
      <c r="F393" s="11">
        <v>47</v>
      </c>
    </row>
    <row r="394" spans="1:6" x14ac:dyDescent="0.25">
      <c r="A394" s="9" t="s">
        <v>1138</v>
      </c>
      <c r="B394" s="9" t="s">
        <v>1110</v>
      </c>
      <c r="C394" s="9" t="s">
        <v>1130</v>
      </c>
      <c r="D394" s="10">
        <v>44691</v>
      </c>
      <c r="E394" s="16">
        <v>5.7750000000000004</v>
      </c>
      <c r="F394" s="11">
        <v>41</v>
      </c>
    </row>
    <row r="395" spans="1:6" x14ac:dyDescent="0.25">
      <c r="A395" s="9" t="s">
        <v>1128</v>
      </c>
      <c r="B395" s="9" t="s">
        <v>1110</v>
      </c>
      <c r="C395" s="9" t="s">
        <v>1134</v>
      </c>
      <c r="D395" s="10">
        <v>44735</v>
      </c>
      <c r="E395" s="16">
        <v>13.125</v>
      </c>
      <c r="F395" s="11">
        <v>275</v>
      </c>
    </row>
    <row r="396" spans="1:6" x14ac:dyDescent="0.25">
      <c r="A396" s="9" t="s">
        <v>1129</v>
      </c>
      <c r="B396" s="9" t="s">
        <v>1124</v>
      </c>
      <c r="C396" s="9" t="s">
        <v>1111</v>
      </c>
      <c r="D396" s="10">
        <v>44620</v>
      </c>
      <c r="E396" s="16">
        <v>14.287000000000001</v>
      </c>
      <c r="F396" s="11">
        <v>370</v>
      </c>
    </row>
    <row r="397" spans="1:6" x14ac:dyDescent="0.25">
      <c r="A397" s="9" t="s">
        <v>1118</v>
      </c>
      <c r="B397" s="9" t="s">
        <v>1121</v>
      </c>
      <c r="C397" s="9" t="s">
        <v>1130</v>
      </c>
      <c r="D397" s="10">
        <v>44706</v>
      </c>
      <c r="E397" s="16">
        <v>16.233000000000001</v>
      </c>
      <c r="F397" s="11">
        <v>138</v>
      </c>
    </row>
    <row r="398" spans="1:6" x14ac:dyDescent="0.25">
      <c r="A398" s="9" t="s">
        <v>1131</v>
      </c>
      <c r="B398" s="9" t="s">
        <v>1116</v>
      </c>
      <c r="C398" s="9" t="s">
        <v>1151</v>
      </c>
      <c r="D398" s="10">
        <v>44614</v>
      </c>
      <c r="E398" s="16">
        <v>5.3129999999999997</v>
      </c>
      <c r="F398" s="11">
        <v>215</v>
      </c>
    </row>
    <row r="399" spans="1:6" x14ac:dyDescent="0.25">
      <c r="A399" s="9" t="s">
        <v>1104</v>
      </c>
      <c r="B399" s="9" t="s">
        <v>1102</v>
      </c>
      <c r="C399" s="9" t="s">
        <v>1106</v>
      </c>
      <c r="D399" s="10">
        <v>44753</v>
      </c>
      <c r="E399" s="16">
        <v>3.577</v>
      </c>
      <c r="F399" s="11">
        <v>134</v>
      </c>
    </row>
    <row r="400" spans="1:6" x14ac:dyDescent="0.25">
      <c r="A400" s="9" t="s">
        <v>1128</v>
      </c>
      <c r="B400" s="9" t="s">
        <v>1124</v>
      </c>
      <c r="C400" s="9" t="s">
        <v>1134</v>
      </c>
      <c r="D400" s="10">
        <v>44564</v>
      </c>
      <c r="E400" s="16">
        <v>3.528</v>
      </c>
      <c r="F400" s="11">
        <v>336</v>
      </c>
    </row>
    <row r="401" spans="1:6" x14ac:dyDescent="0.25">
      <c r="A401" s="9" t="s">
        <v>1119</v>
      </c>
      <c r="B401" s="9" t="s">
        <v>1116</v>
      </c>
      <c r="C401" s="9" t="s">
        <v>1153</v>
      </c>
      <c r="D401" s="10">
        <v>44797</v>
      </c>
      <c r="E401" s="16">
        <v>679</v>
      </c>
      <c r="F401" s="11">
        <v>280</v>
      </c>
    </row>
    <row r="402" spans="1:6" x14ac:dyDescent="0.25">
      <c r="A402" s="9" t="s">
        <v>1129</v>
      </c>
      <c r="B402" s="9" t="s">
        <v>1121</v>
      </c>
      <c r="C402" s="9" t="s">
        <v>1117</v>
      </c>
      <c r="D402" s="10">
        <v>44770</v>
      </c>
      <c r="E402" s="16">
        <v>2.4500000000000002</v>
      </c>
      <c r="F402" s="11">
        <v>352</v>
      </c>
    </row>
    <row r="403" spans="1:6" x14ac:dyDescent="0.25">
      <c r="A403" s="9" t="s">
        <v>1118</v>
      </c>
      <c r="B403" s="9" t="s">
        <v>1121</v>
      </c>
      <c r="C403" s="9" t="s">
        <v>1103</v>
      </c>
      <c r="D403" s="10">
        <v>44706</v>
      </c>
      <c r="E403" s="16">
        <v>10.577</v>
      </c>
      <c r="F403" s="11">
        <v>150</v>
      </c>
    </row>
    <row r="404" spans="1:6" x14ac:dyDescent="0.25">
      <c r="A404" s="9" t="s">
        <v>1126</v>
      </c>
      <c r="B404" s="9" t="s">
        <v>1116</v>
      </c>
      <c r="C404" s="9" t="s">
        <v>1125</v>
      </c>
      <c r="D404" s="10">
        <v>44687</v>
      </c>
      <c r="E404" s="16">
        <v>2.597</v>
      </c>
      <c r="F404" s="11">
        <v>177</v>
      </c>
    </row>
    <row r="405" spans="1:6" x14ac:dyDescent="0.25">
      <c r="A405" s="9" t="s">
        <v>1120</v>
      </c>
      <c r="B405" s="9" t="s">
        <v>1105</v>
      </c>
      <c r="C405" s="9" t="s">
        <v>1127</v>
      </c>
      <c r="D405" s="10">
        <v>44589</v>
      </c>
      <c r="E405" s="16">
        <v>2.2189999999999999</v>
      </c>
      <c r="F405" s="11">
        <v>142</v>
      </c>
    </row>
    <row r="406" spans="1:6" x14ac:dyDescent="0.25">
      <c r="A406" s="9" t="s">
        <v>1128</v>
      </c>
      <c r="B406" s="9" t="s">
        <v>1102</v>
      </c>
      <c r="C406" s="9" t="s">
        <v>1122</v>
      </c>
      <c r="D406" s="10">
        <v>44718</v>
      </c>
      <c r="E406" s="16">
        <v>11.319000000000001</v>
      </c>
      <c r="F406" s="11">
        <v>12</v>
      </c>
    </row>
    <row r="407" spans="1:6" x14ac:dyDescent="0.25">
      <c r="A407" s="9" t="s">
        <v>1118</v>
      </c>
      <c r="B407" s="9" t="s">
        <v>1116</v>
      </c>
      <c r="C407" s="9" t="s">
        <v>1151</v>
      </c>
      <c r="D407" s="10">
        <v>44754</v>
      </c>
      <c r="E407" s="16">
        <v>5.9779999999999998</v>
      </c>
      <c r="F407" s="11">
        <v>24</v>
      </c>
    </row>
    <row r="408" spans="1:6" x14ac:dyDescent="0.25">
      <c r="A408" s="9" t="s">
        <v>1150</v>
      </c>
      <c r="B408" s="9" t="s">
        <v>1124</v>
      </c>
      <c r="C408" s="9" t="s">
        <v>1134</v>
      </c>
      <c r="D408" s="10">
        <v>44778</v>
      </c>
      <c r="E408" s="16">
        <v>5.327</v>
      </c>
      <c r="F408" s="11">
        <v>183</v>
      </c>
    </row>
    <row r="409" spans="1:6" x14ac:dyDescent="0.25">
      <c r="A409" s="9" t="s">
        <v>1118</v>
      </c>
      <c r="B409" s="9" t="s">
        <v>1121</v>
      </c>
      <c r="C409" s="9" t="s">
        <v>1122</v>
      </c>
      <c r="D409" s="10">
        <v>44589</v>
      </c>
      <c r="E409" s="16">
        <v>6.02</v>
      </c>
      <c r="F409" s="11">
        <v>147</v>
      </c>
    </row>
    <row r="410" spans="1:6" x14ac:dyDescent="0.25">
      <c r="A410" s="9" t="s">
        <v>1136</v>
      </c>
      <c r="B410" s="9" t="s">
        <v>1105</v>
      </c>
      <c r="C410" s="9" t="s">
        <v>1134</v>
      </c>
      <c r="D410" s="10">
        <v>44804</v>
      </c>
      <c r="E410" s="16">
        <v>5.6139999999999999</v>
      </c>
      <c r="F410" s="11">
        <v>137</v>
      </c>
    </row>
    <row r="411" spans="1:6" x14ac:dyDescent="0.25">
      <c r="A411" s="9" t="s">
        <v>1123</v>
      </c>
      <c r="B411" s="9" t="s">
        <v>1121</v>
      </c>
      <c r="C411" s="9" t="s">
        <v>1117</v>
      </c>
      <c r="D411" s="10">
        <v>44670</v>
      </c>
      <c r="E411" s="16">
        <v>1.736</v>
      </c>
      <c r="F411" s="11">
        <v>13</v>
      </c>
    </row>
    <row r="412" spans="1:6" x14ac:dyDescent="0.25">
      <c r="A412" s="9" t="s">
        <v>1123</v>
      </c>
      <c r="B412" s="9" t="s">
        <v>1102</v>
      </c>
      <c r="C412" s="9" t="s">
        <v>1103</v>
      </c>
      <c r="D412" s="10">
        <v>44741</v>
      </c>
      <c r="E412" s="16">
        <v>6.3840000000000003</v>
      </c>
      <c r="F412" s="11">
        <v>2</v>
      </c>
    </row>
    <row r="413" spans="1:6" x14ac:dyDescent="0.25">
      <c r="A413" s="9" t="s">
        <v>1129</v>
      </c>
      <c r="B413" s="9" t="s">
        <v>1105</v>
      </c>
      <c r="C413" s="9" t="s">
        <v>1147</v>
      </c>
      <c r="D413" s="10">
        <v>44616</v>
      </c>
      <c r="E413" s="16">
        <v>3.577</v>
      </c>
      <c r="F413" s="11">
        <v>261</v>
      </c>
    </row>
    <row r="414" spans="1:6" x14ac:dyDescent="0.25">
      <c r="A414" s="9" t="s">
        <v>1148</v>
      </c>
      <c r="B414" s="9" t="s">
        <v>1102</v>
      </c>
      <c r="C414" s="9" t="s">
        <v>1111</v>
      </c>
      <c r="D414" s="10">
        <v>44624</v>
      </c>
      <c r="E414" s="16">
        <v>14.539</v>
      </c>
      <c r="F414" s="11">
        <v>84</v>
      </c>
    </row>
    <row r="415" spans="1:6" x14ac:dyDescent="0.25">
      <c r="A415" s="9" t="s">
        <v>1107</v>
      </c>
      <c r="B415" s="9" t="s">
        <v>1105</v>
      </c>
      <c r="C415" s="9" t="s">
        <v>1125</v>
      </c>
      <c r="D415" s="10">
        <v>44733</v>
      </c>
      <c r="E415" s="16">
        <v>3.4929999999999999</v>
      </c>
      <c r="F415" s="11">
        <v>68</v>
      </c>
    </row>
    <row r="416" spans="1:6" x14ac:dyDescent="0.25">
      <c r="A416" s="9" t="s">
        <v>1119</v>
      </c>
      <c r="B416" s="9" t="s">
        <v>1110</v>
      </c>
      <c r="C416" s="9" t="s">
        <v>1130</v>
      </c>
      <c r="D416" s="10">
        <v>44587</v>
      </c>
      <c r="E416" s="16">
        <v>994</v>
      </c>
      <c r="F416" s="11">
        <v>105</v>
      </c>
    </row>
    <row r="417" spans="1:6" x14ac:dyDescent="0.25">
      <c r="A417" s="9" t="s">
        <v>1112</v>
      </c>
      <c r="B417" s="9" t="s">
        <v>1116</v>
      </c>
      <c r="C417" s="9" t="s">
        <v>1139</v>
      </c>
      <c r="D417" s="10">
        <v>44722</v>
      </c>
      <c r="E417" s="16">
        <v>4.3609999999999998</v>
      </c>
      <c r="F417" s="11">
        <v>40</v>
      </c>
    </row>
    <row r="418" spans="1:6" x14ac:dyDescent="0.25">
      <c r="A418" s="9" t="s">
        <v>1143</v>
      </c>
      <c r="B418" s="9" t="s">
        <v>1102</v>
      </c>
      <c r="C418" s="9" t="s">
        <v>1127</v>
      </c>
      <c r="D418" s="10">
        <v>44704</v>
      </c>
      <c r="E418" s="16">
        <v>1.554</v>
      </c>
      <c r="F418" s="11">
        <v>65</v>
      </c>
    </row>
    <row r="419" spans="1:6" x14ac:dyDescent="0.25">
      <c r="A419" s="9" t="s">
        <v>1144</v>
      </c>
      <c r="B419" s="9" t="s">
        <v>1105</v>
      </c>
      <c r="C419" s="9" t="s">
        <v>1132</v>
      </c>
      <c r="D419" s="10">
        <v>44666</v>
      </c>
      <c r="E419" s="16">
        <v>966</v>
      </c>
      <c r="F419" s="11">
        <v>107</v>
      </c>
    </row>
    <row r="420" spans="1:6" x14ac:dyDescent="0.25">
      <c r="A420" s="9" t="s">
        <v>1126</v>
      </c>
      <c r="B420" s="9" t="s">
        <v>1116</v>
      </c>
      <c r="C420" s="9" t="s">
        <v>1152</v>
      </c>
      <c r="D420" s="10">
        <v>44592</v>
      </c>
      <c r="E420" s="16">
        <v>5.3339999999999996</v>
      </c>
      <c r="F420" s="11">
        <v>227</v>
      </c>
    </row>
    <row r="421" spans="1:6" x14ac:dyDescent="0.25">
      <c r="A421" s="9" t="s">
        <v>1143</v>
      </c>
      <c r="B421" s="9" t="s">
        <v>1116</v>
      </c>
      <c r="C421" s="9" t="s">
        <v>1130</v>
      </c>
      <c r="D421" s="10">
        <v>44624</v>
      </c>
      <c r="E421" s="16">
        <v>4.9349999999999996</v>
      </c>
      <c r="F421" s="11">
        <v>39</v>
      </c>
    </row>
    <row r="422" spans="1:6" x14ac:dyDescent="0.25">
      <c r="A422" s="9" t="s">
        <v>1120</v>
      </c>
      <c r="B422" s="9" t="s">
        <v>1116</v>
      </c>
      <c r="C422" s="9" t="s">
        <v>1115</v>
      </c>
      <c r="D422" s="10">
        <v>44670</v>
      </c>
      <c r="E422" s="16">
        <v>10.023999999999999</v>
      </c>
      <c r="F422" s="11">
        <v>84</v>
      </c>
    </row>
    <row r="423" spans="1:6" x14ac:dyDescent="0.25">
      <c r="A423" s="9" t="s">
        <v>1129</v>
      </c>
      <c r="B423" s="9" t="s">
        <v>1102</v>
      </c>
      <c r="C423" s="9" t="s">
        <v>1142</v>
      </c>
      <c r="D423" s="10">
        <v>44697</v>
      </c>
      <c r="E423" s="16">
        <v>2.5059999999999998</v>
      </c>
      <c r="F423" s="11">
        <v>100</v>
      </c>
    </row>
    <row r="424" spans="1:6" x14ac:dyDescent="0.25">
      <c r="A424" s="9" t="s">
        <v>1112</v>
      </c>
      <c r="B424" s="9" t="s">
        <v>1110</v>
      </c>
      <c r="C424" s="9" t="s">
        <v>1146</v>
      </c>
      <c r="D424" s="10">
        <v>44609</v>
      </c>
      <c r="E424" s="16">
        <v>1.0429999999999999</v>
      </c>
      <c r="F424" s="11">
        <v>120</v>
      </c>
    </row>
    <row r="425" spans="1:6" x14ac:dyDescent="0.25">
      <c r="A425" s="9" t="s">
        <v>1138</v>
      </c>
      <c r="B425" s="9" t="s">
        <v>1121</v>
      </c>
      <c r="C425" s="9" t="s">
        <v>1146</v>
      </c>
      <c r="D425" s="10">
        <v>44579</v>
      </c>
      <c r="E425" s="16">
        <v>6.524</v>
      </c>
      <c r="F425" s="11">
        <v>257</v>
      </c>
    </row>
    <row r="426" spans="1:6" x14ac:dyDescent="0.25">
      <c r="A426" s="9" t="s">
        <v>1131</v>
      </c>
      <c r="B426" s="9" t="s">
        <v>1124</v>
      </c>
      <c r="C426" s="9" t="s">
        <v>1122</v>
      </c>
      <c r="D426" s="10">
        <v>44601</v>
      </c>
      <c r="E426" s="16">
        <v>8.1479999999999997</v>
      </c>
      <c r="F426" s="11">
        <v>85</v>
      </c>
    </row>
    <row r="427" spans="1:6" x14ac:dyDescent="0.25">
      <c r="A427" s="9" t="s">
        <v>1123</v>
      </c>
      <c r="B427" s="9" t="s">
        <v>1124</v>
      </c>
      <c r="C427" s="9" t="s">
        <v>1122</v>
      </c>
      <c r="D427" s="10">
        <v>44643</v>
      </c>
      <c r="E427" s="16">
        <v>3.577</v>
      </c>
      <c r="F427" s="11">
        <v>178</v>
      </c>
    </row>
    <row r="428" spans="1:6" x14ac:dyDescent="0.25">
      <c r="A428" s="9" t="s">
        <v>1148</v>
      </c>
      <c r="B428" s="9" t="s">
        <v>1116</v>
      </c>
      <c r="C428" s="9" t="s">
        <v>1152</v>
      </c>
      <c r="D428" s="10">
        <v>44593</v>
      </c>
      <c r="E428" s="16">
        <v>3.3740000000000001</v>
      </c>
      <c r="F428" s="11">
        <v>151</v>
      </c>
    </row>
    <row r="429" spans="1:6" x14ac:dyDescent="0.25">
      <c r="A429" s="9" t="s">
        <v>1123</v>
      </c>
      <c r="B429" s="9" t="s">
        <v>1105</v>
      </c>
      <c r="C429" s="9" t="s">
        <v>1127</v>
      </c>
      <c r="D429" s="10">
        <v>44627</v>
      </c>
      <c r="E429" s="16">
        <v>3.948</v>
      </c>
      <c r="F429" s="11">
        <v>142</v>
      </c>
    </row>
    <row r="430" spans="1:6" x14ac:dyDescent="0.25">
      <c r="A430" s="9" t="s">
        <v>1150</v>
      </c>
      <c r="B430" s="9" t="s">
        <v>1102</v>
      </c>
      <c r="C430" s="9" t="s">
        <v>1139</v>
      </c>
      <c r="D430" s="10">
        <v>44564</v>
      </c>
      <c r="E430" s="16">
        <v>3.2690000000000001</v>
      </c>
      <c r="F430" s="11">
        <v>226</v>
      </c>
    </row>
    <row r="431" spans="1:6" x14ac:dyDescent="0.25">
      <c r="A431" s="9" t="s">
        <v>1150</v>
      </c>
      <c r="B431" s="9" t="s">
        <v>1121</v>
      </c>
      <c r="C431" s="9" t="s">
        <v>1139</v>
      </c>
      <c r="D431" s="10">
        <v>44603</v>
      </c>
      <c r="E431" s="16">
        <v>5.2709999999999999</v>
      </c>
      <c r="F431" s="11">
        <v>341</v>
      </c>
    </row>
    <row r="432" spans="1:6" x14ac:dyDescent="0.25">
      <c r="A432" s="9" t="s">
        <v>1138</v>
      </c>
      <c r="B432" s="9" t="s">
        <v>1116</v>
      </c>
      <c r="C432" s="9" t="s">
        <v>1122</v>
      </c>
      <c r="D432" s="10">
        <v>44636</v>
      </c>
      <c r="E432" s="16">
        <v>4.5709999999999997</v>
      </c>
      <c r="F432" s="11">
        <v>140</v>
      </c>
    </row>
    <row r="433" spans="1:6" x14ac:dyDescent="0.25">
      <c r="A433" s="9" t="s">
        <v>1149</v>
      </c>
      <c r="B433" s="9" t="s">
        <v>1105</v>
      </c>
      <c r="C433" s="9" t="s">
        <v>1139</v>
      </c>
      <c r="D433" s="10">
        <v>44788</v>
      </c>
      <c r="E433" s="16">
        <v>12.327</v>
      </c>
      <c r="F433" s="11">
        <v>330</v>
      </c>
    </row>
    <row r="434" spans="1:6" x14ac:dyDescent="0.25">
      <c r="A434" s="9" t="s">
        <v>1107</v>
      </c>
      <c r="B434" s="9" t="s">
        <v>1105</v>
      </c>
      <c r="C434" s="9" t="s">
        <v>1140</v>
      </c>
      <c r="D434" s="10">
        <v>44693</v>
      </c>
      <c r="E434" s="16">
        <v>4.9349999999999996</v>
      </c>
      <c r="F434" s="11">
        <v>73</v>
      </c>
    </row>
    <row r="435" spans="1:6" x14ac:dyDescent="0.25">
      <c r="A435" s="9" t="s">
        <v>1104</v>
      </c>
      <c r="B435" s="9" t="s">
        <v>1105</v>
      </c>
      <c r="C435" s="9" t="s">
        <v>1134</v>
      </c>
      <c r="D435" s="10">
        <v>44662</v>
      </c>
      <c r="E435" s="16">
        <v>6.1669999999999998</v>
      </c>
      <c r="F435" s="11">
        <v>4</v>
      </c>
    </row>
    <row r="436" spans="1:6" x14ac:dyDescent="0.25">
      <c r="A436" s="9" t="s">
        <v>1109</v>
      </c>
      <c r="B436" s="9" t="s">
        <v>1116</v>
      </c>
      <c r="C436" s="9" t="s">
        <v>1103</v>
      </c>
      <c r="D436" s="10">
        <v>44742</v>
      </c>
      <c r="E436" s="16">
        <v>18.34</v>
      </c>
      <c r="F436" s="11">
        <v>285</v>
      </c>
    </row>
    <row r="437" spans="1:6" x14ac:dyDescent="0.25">
      <c r="A437" s="9" t="s">
        <v>1149</v>
      </c>
      <c r="B437" s="9" t="s">
        <v>1116</v>
      </c>
      <c r="C437" s="9" t="s">
        <v>1139</v>
      </c>
      <c r="D437" s="10">
        <v>44727</v>
      </c>
      <c r="E437" s="16">
        <v>7.0140000000000002</v>
      </c>
      <c r="F437" s="11">
        <v>60</v>
      </c>
    </row>
    <row r="438" spans="1:6" x14ac:dyDescent="0.25">
      <c r="A438" s="9" t="s">
        <v>1119</v>
      </c>
      <c r="B438" s="9" t="s">
        <v>1124</v>
      </c>
      <c r="C438" s="9" t="s">
        <v>1152</v>
      </c>
      <c r="D438" s="10">
        <v>44774</v>
      </c>
      <c r="E438" s="16">
        <v>7.1189999999999998</v>
      </c>
      <c r="F438" s="11">
        <v>101</v>
      </c>
    </row>
    <row r="439" spans="1:6" x14ac:dyDescent="0.25">
      <c r="A439" s="9" t="s">
        <v>1136</v>
      </c>
      <c r="B439" s="9" t="s">
        <v>1121</v>
      </c>
      <c r="C439" s="9" t="s">
        <v>1132</v>
      </c>
      <c r="D439" s="10">
        <v>44727</v>
      </c>
      <c r="E439" s="16">
        <v>15.491</v>
      </c>
      <c r="F439" s="11">
        <v>58</v>
      </c>
    </row>
    <row r="440" spans="1:6" x14ac:dyDescent="0.25">
      <c r="A440" s="9" t="s">
        <v>1118</v>
      </c>
      <c r="B440" s="9" t="s">
        <v>1105</v>
      </c>
      <c r="C440" s="9" t="s">
        <v>1115</v>
      </c>
      <c r="D440" s="10">
        <v>44728</v>
      </c>
      <c r="E440" s="16">
        <v>5.7469999999999999</v>
      </c>
      <c r="F440" s="11">
        <v>45</v>
      </c>
    </row>
    <row r="441" spans="1:6" x14ac:dyDescent="0.25">
      <c r="A441" s="9" t="s">
        <v>1112</v>
      </c>
      <c r="B441" s="9" t="s">
        <v>1116</v>
      </c>
      <c r="C441" s="9" t="s">
        <v>1146</v>
      </c>
      <c r="D441" s="10">
        <v>44694</v>
      </c>
      <c r="E441" s="16">
        <v>4.55</v>
      </c>
      <c r="F441" s="11">
        <v>281</v>
      </c>
    </row>
    <row r="442" spans="1:6" x14ac:dyDescent="0.25">
      <c r="A442" s="9" t="s">
        <v>1138</v>
      </c>
      <c r="B442" s="9" t="s">
        <v>1121</v>
      </c>
      <c r="C442" s="9" t="s">
        <v>1127</v>
      </c>
      <c r="D442" s="10">
        <v>44691</v>
      </c>
      <c r="E442" s="16">
        <v>2.1909999999999998</v>
      </c>
      <c r="F442" s="11">
        <v>138</v>
      </c>
    </row>
    <row r="443" spans="1:6" x14ac:dyDescent="0.25">
      <c r="A443" s="9" t="s">
        <v>1112</v>
      </c>
      <c r="B443" s="9" t="s">
        <v>1105</v>
      </c>
      <c r="C443" s="9" t="s">
        <v>1125</v>
      </c>
      <c r="D443" s="10">
        <v>44798</v>
      </c>
      <c r="E443" s="16">
        <v>5.6630000000000003</v>
      </c>
      <c r="F443" s="11">
        <v>322</v>
      </c>
    </row>
    <row r="444" spans="1:6" x14ac:dyDescent="0.25">
      <c r="A444" s="9" t="s">
        <v>1150</v>
      </c>
      <c r="B444" s="9" t="s">
        <v>1116</v>
      </c>
      <c r="C444" s="9" t="s">
        <v>1130</v>
      </c>
      <c r="D444" s="10">
        <v>44757</v>
      </c>
      <c r="E444" s="16">
        <v>7.6230000000000002</v>
      </c>
      <c r="F444" s="11">
        <v>85</v>
      </c>
    </row>
    <row r="445" spans="1:6" x14ac:dyDescent="0.25">
      <c r="A445" s="9" t="s">
        <v>1107</v>
      </c>
      <c r="B445" s="9" t="s">
        <v>1102</v>
      </c>
      <c r="C445" s="9" t="s">
        <v>1151</v>
      </c>
      <c r="D445" s="10">
        <v>44697</v>
      </c>
      <c r="E445" s="16">
        <v>9.0229999999999997</v>
      </c>
      <c r="F445" s="11">
        <v>409</v>
      </c>
    </row>
    <row r="446" spans="1:6" x14ac:dyDescent="0.25">
      <c r="A446" s="9" t="s">
        <v>1109</v>
      </c>
      <c r="B446" s="9" t="s">
        <v>1110</v>
      </c>
      <c r="C446" s="9" t="s">
        <v>1117</v>
      </c>
      <c r="D446" s="10">
        <v>44726</v>
      </c>
      <c r="E446" s="16">
        <v>3.4020000000000001</v>
      </c>
      <c r="F446" s="11">
        <v>182</v>
      </c>
    </row>
    <row r="447" spans="1:6" x14ac:dyDescent="0.25">
      <c r="A447" s="9" t="s">
        <v>1129</v>
      </c>
      <c r="B447" s="9" t="s">
        <v>1110</v>
      </c>
      <c r="C447" s="9" t="s">
        <v>1111</v>
      </c>
      <c r="D447" s="10">
        <v>44586</v>
      </c>
      <c r="E447" s="16">
        <v>10.507</v>
      </c>
      <c r="F447" s="11">
        <v>467</v>
      </c>
    </row>
    <row r="448" spans="1:6" x14ac:dyDescent="0.25">
      <c r="A448" s="9" t="s">
        <v>1150</v>
      </c>
      <c r="B448" s="9" t="s">
        <v>1121</v>
      </c>
      <c r="C448" s="9" t="s">
        <v>1130</v>
      </c>
      <c r="D448" s="10">
        <v>44770</v>
      </c>
      <c r="E448" s="16">
        <v>7.7210000000000001</v>
      </c>
      <c r="F448" s="11">
        <v>14</v>
      </c>
    </row>
    <row r="449" spans="1:6" x14ac:dyDescent="0.25">
      <c r="A449" s="9" t="s">
        <v>1118</v>
      </c>
      <c r="B449" s="9" t="s">
        <v>1124</v>
      </c>
      <c r="C449" s="9" t="s">
        <v>1103</v>
      </c>
      <c r="D449" s="10">
        <v>44589</v>
      </c>
      <c r="E449" s="16">
        <v>5.0330000000000004</v>
      </c>
      <c r="F449" s="11">
        <v>178</v>
      </c>
    </row>
    <row r="450" spans="1:6" x14ac:dyDescent="0.25">
      <c r="A450" s="9" t="s">
        <v>1136</v>
      </c>
      <c r="B450" s="9" t="s">
        <v>1102</v>
      </c>
      <c r="C450" s="9" t="s">
        <v>1122</v>
      </c>
      <c r="D450" s="10">
        <v>44741</v>
      </c>
      <c r="E450" s="16">
        <v>1.96</v>
      </c>
      <c r="F450" s="11">
        <v>191</v>
      </c>
    </row>
    <row r="451" spans="1:6" x14ac:dyDescent="0.25">
      <c r="A451" s="9" t="s">
        <v>1126</v>
      </c>
      <c r="B451" s="9" t="s">
        <v>1110</v>
      </c>
      <c r="C451" s="9" t="s">
        <v>1153</v>
      </c>
      <c r="D451" s="10">
        <v>44736</v>
      </c>
      <c r="E451" s="16">
        <v>238</v>
      </c>
      <c r="F451" s="11">
        <v>317</v>
      </c>
    </row>
    <row r="452" spans="1:6" x14ac:dyDescent="0.25">
      <c r="A452" s="9" t="s">
        <v>1114</v>
      </c>
      <c r="B452" s="9" t="s">
        <v>1124</v>
      </c>
      <c r="C452" s="9" t="s">
        <v>1103</v>
      </c>
      <c r="D452" s="10">
        <v>44743</v>
      </c>
      <c r="E452" s="16">
        <v>7.7560000000000002</v>
      </c>
      <c r="F452" s="11">
        <v>410</v>
      </c>
    </row>
    <row r="453" spans="1:6" x14ac:dyDescent="0.25">
      <c r="A453" s="9" t="s">
        <v>1131</v>
      </c>
      <c r="B453" s="9" t="s">
        <v>1121</v>
      </c>
      <c r="C453" s="9" t="s">
        <v>1108</v>
      </c>
      <c r="D453" s="10">
        <v>44617</v>
      </c>
      <c r="E453" s="16">
        <v>1.736</v>
      </c>
      <c r="F453" s="11">
        <v>137</v>
      </c>
    </row>
    <row r="454" spans="1:6" x14ac:dyDescent="0.25">
      <c r="A454" s="9" t="s">
        <v>1133</v>
      </c>
      <c r="B454" s="9" t="s">
        <v>1124</v>
      </c>
      <c r="C454" s="9" t="s">
        <v>1111</v>
      </c>
      <c r="D454" s="10">
        <v>44774</v>
      </c>
      <c r="E454" s="16">
        <v>2.66</v>
      </c>
      <c r="F454" s="11">
        <v>12</v>
      </c>
    </row>
    <row r="455" spans="1:6" x14ac:dyDescent="0.25">
      <c r="A455" s="9" t="s">
        <v>1112</v>
      </c>
      <c r="B455" s="9" t="s">
        <v>1110</v>
      </c>
      <c r="C455" s="9" t="s">
        <v>1132</v>
      </c>
      <c r="D455" s="10">
        <v>44733</v>
      </c>
      <c r="E455" s="16">
        <v>7.6719999999999997</v>
      </c>
      <c r="F455" s="11">
        <v>254</v>
      </c>
    </row>
    <row r="456" spans="1:6" x14ac:dyDescent="0.25">
      <c r="A456" s="9" t="s">
        <v>1145</v>
      </c>
      <c r="B456" s="9" t="s">
        <v>1116</v>
      </c>
      <c r="C456" s="9" t="s">
        <v>1134</v>
      </c>
      <c r="D456" s="10">
        <v>44586</v>
      </c>
      <c r="E456" s="16">
        <v>11.564</v>
      </c>
      <c r="F456" s="11">
        <v>24</v>
      </c>
    </row>
    <row r="457" spans="1:6" x14ac:dyDescent="0.25">
      <c r="A457" s="9" t="s">
        <v>1107</v>
      </c>
      <c r="B457" s="9" t="s">
        <v>1102</v>
      </c>
      <c r="C457" s="9" t="s">
        <v>1132</v>
      </c>
      <c r="D457" s="10">
        <v>44698</v>
      </c>
      <c r="E457" s="16">
        <v>1.365</v>
      </c>
      <c r="F457" s="11">
        <v>232</v>
      </c>
    </row>
    <row r="458" spans="1:6" x14ac:dyDescent="0.25">
      <c r="A458" s="9" t="s">
        <v>1143</v>
      </c>
      <c r="B458" s="9" t="s">
        <v>1110</v>
      </c>
      <c r="C458" s="9" t="s">
        <v>1106</v>
      </c>
      <c r="D458" s="10">
        <v>44796</v>
      </c>
      <c r="E458" s="16">
        <v>4.1859999999999999</v>
      </c>
      <c r="F458" s="11">
        <v>233</v>
      </c>
    </row>
    <row r="459" spans="1:6" x14ac:dyDescent="0.25">
      <c r="A459" s="9" t="s">
        <v>1145</v>
      </c>
      <c r="B459" s="9" t="s">
        <v>1110</v>
      </c>
      <c r="C459" s="9" t="s">
        <v>1111</v>
      </c>
      <c r="D459" s="10">
        <v>44623</v>
      </c>
      <c r="E459" s="16">
        <v>7.4059999999999997</v>
      </c>
      <c r="F459" s="11">
        <v>118</v>
      </c>
    </row>
    <row r="460" spans="1:6" x14ac:dyDescent="0.25">
      <c r="A460" s="9" t="s">
        <v>1131</v>
      </c>
      <c r="B460" s="9" t="s">
        <v>1105</v>
      </c>
      <c r="C460" s="9" t="s">
        <v>1152</v>
      </c>
      <c r="D460" s="10">
        <v>44711</v>
      </c>
      <c r="E460" s="16">
        <v>8.9109999999999996</v>
      </c>
      <c r="F460" s="11">
        <v>543</v>
      </c>
    </row>
    <row r="461" spans="1:6" x14ac:dyDescent="0.25">
      <c r="A461" s="9" t="s">
        <v>1126</v>
      </c>
      <c r="B461" s="9" t="s">
        <v>1121</v>
      </c>
      <c r="C461" s="9" t="s">
        <v>1127</v>
      </c>
      <c r="D461" s="10">
        <v>44741</v>
      </c>
      <c r="E461" s="16">
        <v>112</v>
      </c>
      <c r="F461" s="11">
        <v>223</v>
      </c>
    </row>
    <row r="462" spans="1:6" x14ac:dyDescent="0.25">
      <c r="A462" s="9" t="s">
        <v>1143</v>
      </c>
      <c r="B462" s="9" t="s">
        <v>1124</v>
      </c>
      <c r="C462" s="9" t="s">
        <v>1130</v>
      </c>
      <c r="D462" s="10">
        <v>44565</v>
      </c>
      <c r="E462" s="16">
        <v>8.2040000000000006</v>
      </c>
      <c r="F462" s="11">
        <v>204</v>
      </c>
    </row>
    <row r="463" spans="1:6" x14ac:dyDescent="0.25">
      <c r="A463" s="9" t="s">
        <v>1101</v>
      </c>
      <c r="B463" s="9" t="s">
        <v>1110</v>
      </c>
      <c r="C463" s="9" t="s">
        <v>1127</v>
      </c>
      <c r="D463" s="10">
        <v>44575</v>
      </c>
      <c r="E463" s="16">
        <v>2.6110000000000002</v>
      </c>
      <c r="F463" s="11">
        <v>65</v>
      </c>
    </row>
    <row r="464" spans="1:6" x14ac:dyDescent="0.25">
      <c r="A464" s="9" t="s">
        <v>1126</v>
      </c>
      <c r="B464" s="9" t="s">
        <v>1121</v>
      </c>
      <c r="C464" s="9" t="s">
        <v>1103</v>
      </c>
      <c r="D464" s="10">
        <v>44607</v>
      </c>
      <c r="E464" s="16">
        <v>15.651999999999999</v>
      </c>
      <c r="F464" s="11">
        <v>53</v>
      </c>
    </row>
    <row r="465" spans="1:6" x14ac:dyDescent="0.25">
      <c r="A465" s="9" t="s">
        <v>1133</v>
      </c>
      <c r="B465" s="9" t="s">
        <v>1116</v>
      </c>
      <c r="C465" s="9" t="s">
        <v>1134</v>
      </c>
      <c r="D465" s="10">
        <v>44571</v>
      </c>
      <c r="E465" s="16">
        <v>4.0739999999999998</v>
      </c>
      <c r="F465" s="11">
        <v>469</v>
      </c>
    </row>
    <row r="466" spans="1:6" x14ac:dyDescent="0.25">
      <c r="A466" s="9" t="s">
        <v>1148</v>
      </c>
      <c r="B466" s="9" t="s">
        <v>1121</v>
      </c>
      <c r="C466" s="9" t="s">
        <v>1139</v>
      </c>
      <c r="D466" s="10">
        <v>44685</v>
      </c>
      <c r="E466" s="16">
        <v>12.25</v>
      </c>
      <c r="F466" s="11">
        <v>213</v>
      </c>
    </row>
    <row r="467" spans="1:6" x14ac:dyDescent="0.25">
      <c r="A467" s="9" t="s">
        <v>1143</v>
      </c>
      <c r="B467" s="9" t="s">
        <v>1121</v>
      </c>
      <c r="C467" s="9" t="s">
        <v>1134</v>
      </c>
      <c r="D467" s="10">
        <v>44704</v>
      </c>
      <c r="E467" s="16">
        <v>2.3660000000000001</v>
      </c>
      <c r="F467" s="11">
        <v>5</v>
      </c>
    </row>
    <row r="468" spans="1:6" x14ac:dyDescent="0.25">
      <c r="A468" s="9" t="s">
        <v>1120</v>
      </c>
      <c r="B468" s="9" t="s">
        <v>1116</v>
      </c>
      <c r="C468" s="9" t="s">
        <v>1137</v>
      </c>
      <c r="D468" s="10">
        <v>44677</v>
      </c>
      <c r="E468" s="16">
        <v>1.6870000000000001</v>
      </c>
      <c r="F468" s="11">
        <v>147</v>
      </c>
    </row>
    <row r="469" spans="1:6" x14ac:dyDescent="0.25">
      <c r="A469" s="9" t="s">
        <v>1112</v>
      </c>
      <c r="B469" s="9" t="s">
        <v>1124</v>
      </c>
      <c r="C469" s="9" t="s">
        <v>1130</v>
      </c>
      <c r="D469" s="10">
        <v>44747</v>
      </c>
      <c r="E469" s="16">
        <v>1.232</v>
      </c>
      <c r="F469" s="11">
        <v>74</v>
      </c>
    </row>
    <row r="470" spans="1:6" x14ac:dyDescent="0.25">
      <c r="A470" s="9" t="s">
        <v>1148</v>
      </c>
      <c r="B470" s="9" t="s">
        <v>1102</v>
      </c>
      <c r="C470" s="9" t="s">
        <v>1130</v>
      </c>
      <c r="D470" s="10">
        <v>44763</v>
      </c>
      <c r="E470" s="16">
        <v>6.9649999999999999</v>
      </c>
      <c r="F470" s="11">
        <v>163</v>
      </c>
    </row>
    <row r="471" spans="1:6" x14ac:dyDescent="0.25">
      <c r="A471" s="9" t="s">
        <v>1149</v>
      </c>
      <c r="B471" s="9" t="s">
        <v>1121</v>
      </c>
      <c r="C471" s="9" t="s">
        <v>1103</v>
      </c>
      <c r="D471" s="10">
        <v>44613</v>
      </c>
      <c r="E471" s="16">
        <v>5.2919999999999998</v>
      </c>
      <c r="F471" s="11">
        <v>248</v>
      </c>
    </row>
    <row r="472" spans="1:6" x14ac:dyDescent="0.25">
      <c r="A472" s="9" t="s">
        <v>1144</v>
      </c>
      <c r="B472" s="9" t="s">
        <v>1121</v>
      </c>
      <c r="C472" s="9" t="s">
        <v>1122</v>
      </c>
      <c r="D472" s="10">
        <v>44595</v>
      </c>
      <c r="E472" s="16">
        <v>1.379</v>
      </c>
      <c r="F472" s="11">
        <v>138</v>
      </c>
    </row>
    <row r="473" spans="1:6" x14ac:dyDescent="0.25">
      <c r="A473" s="9" t="s">
        <v>1107</v>
      </c>
      <c r="B473" s="9" t="s">
        <v>1110</v>
      </c>
      <c r="C473" s="9" t="s">
        <v>1152</v>
      </c>
      <c r="D473" s="10">
        <v>44750</v>
      </c>
      <c r="E473" s="16">
        <v>8.0009999999999994</v>
      </c>
      <c r="F473" s="11">
        <v>151</v>
      </c>
    </row>
    <row r="474" spans="1:6" x14ac:dyDescent="0.25">
      <c r="A474" s="9" t="s">
        <v>1123</v>
      </c>
      <c r="B474" s="9" t="s">
        <v>1105</v>
      </c>
      <c r="C474" s="9" t="s">
        <v>1117</v>
      </c>
      <c r="D474" s="10">
        <v>44712</v>
      </c>
      <c r="E474" s="16">
        <v>588</v>
      </c>
      <c r="F474" s="11">
        <v>139</v>
      </c>
    </row>
    <row r="475" spans="1:6" x14ac:dyDescent="0.25">
      <c r="A475" s="9" t="s">
        <v>1104</v>
      </c>
      <c r="B475" s="9" t="s">
        <v>1116</v>
      </c>
      <c r="C475" s="9" t="s">
        <v>1103</v>
      </c>
      <c r="D475" s="10">
        <v>44739</v>
      </c>
      <c r="E475" s="16">
        <v>4.0460000000000003</v>
      </c>
      <c r="F475" s="11">
        <v>103</v>
      </c>
    </row>
    <row r="476" spans="1:6" x14ac:dyDescent="0.25">
      <c r="A476" s="9" t="s">
        <v>1104</v>
      </c>
      <c r="B476" s="9" t="s">
        <v>1105</v>
      </c>
      <c r="C476" s="9" t="s">
        <v>1117</v>
      </c>
      <c r="D476" s="10">
        <v>44694</v>
      </c>
      <c r="E476" s="16">
        <v>5.1029999999999998</v>
      </c>
      <c r="F476" s="11">
        <v>129</v>
      </c>
    </row>
    <row r="477" spans="1:6" x14ac:dyDescent="0.25">
      <c r="A477" s="9" t="s">
        <v>1104</v>
      </c>
      <c r="B477" s="9" t="s">
        <v>1121</v>
      </c>
      <c r="C477" s="9" t="s">
        <v>1140</v>
      </c>
      <c r="D477" s="10">
        <v>44712</v>
      </c>
      <c r="E477" s="16">
        <v>2.3170000000000002</v>
      </c>
      <c r="F477" s="11">
        <v>102</v>
      </c>
    </row>
    <row r="478" spans="1:6" x14ac:dyDescent="0.25">
      <c r="A478" s="9" t="s">
        <v>1141</v>
      </c>
      <c r="B478" s="9" t="s">
        <v>1121</v>
      </c>
      <c r="C478" s="9" t="s">
        <v>1122</v>
      </c>
      <c r="D478" s="10">
        <v>44620</v>
      </c>
      <c r="E478" s="16">
        <v>7.0419999999999998</v>
      </c>
      <c r="F478" s="11">
        <v>37</v>
      </c>
    </row>
    <row r="479" spans="1:6" x14ac:dyDescent="0.25">
      <c r="A479" s="9" t="s">
        <v>1120</v>
      </c>
      <c r="B479" s="9" t="s">
        <v>1116</v>
      </c>
      <c r="C479" s="9" t="s">
        <v>1125</v>
      </c>
      <c r="D479" s="10">
        <v>44648</v>
      </c>
      <c r="E479" s="16">
        <v>6.7130000000000001</v>
      </c>
      <c r="F479" s="11">
        <v>31</v>
      </c>
    </row>
    <row r="480" spans="1:6" x14ac:dyDescent="0.25">
      <c r="A480" s="9" t="s">
        <v>1107</v>
      </c>
      <c r="B480" s="9" t="s">
        <v>1121</v>
      </c>
      <c r="C480" s="9" t="s">
        <v>1115</v>
      </c>
      <c r="D480" s="10">
        <v>44575</v>
      </c>
      <c r="E480" s="16">
        <v>1.8480000000000001</v>
      </c>
      <c r="F480" s="11">
        <v>227</v>
      </c>
    </row>
    <row r="481" spans="1:6" x14ac:dyDescent="0.25">
      <c r="A481" s="9" t="s">
        <v>1120</v>
      </c>
      <c r="B481" s="9" t="s">
        <v>1116</v>
      </c>
      <c r="C481" s="9" t="s">
        <v>1103</v>
      </c>
      <c r="D481" s="10">
        <v>44613</v>
      </c>
      <c r="E481" s="16">
        <v>6.44</v>
      </c>
      <c r="F481" s="11">
        <v>145</v>
      </c>
    </row>
    <row r="482" spans="1:6" x14ac:dyDescent="0.25">
      <c r="A482" s="9" t="s">
        <v>1138</v>
      </c>
      <c r="B482" s="9" t="s">
        <v>1124</v>
      </c>
      <c r="C482" s="9" t="s">
        <v>1106</v>
      </c>
      <c r="D482" s="10">
        <v>44774</v>
      </c>
      <c r="E482" s="16">
        <v>10.885</v>
      </c>
      <c r="F482" s="11">
        <v>90</v>
      </c>
    </row>
    <row r="483" spans="1:6" x14ac:dyDescent="0.25">
      <c r="A483" s="9" t="s">
        <v>1129</v>
      </c>
      <c r="B483" s="9" t="s">
        <v>1116</v>
      </c>
      <c r="C483" s="9" t="s">
        <v>1111</v>
      </c>
      <c r="D483" s="10">
        <v>44700</v>
      </c>
      <c r="E483" s="16">
        <v>2.387</v>
      </c>
      <c r="F483" s="11">
        <v>59</v>
      </c>
    </row>
    <row r="484" spans="1:6" x14ac:dyDescent="0.25">
      <c r="A484" s="9" t="s">
        <v>1135</v>
      </c>
      <c r="B484" s="9" t="s">
        <v>1121</v>
      </c>
      <c r="C484" s="9" t="s">
        <v>1139</v>
      </c>
      <c r="D484" s="10">
        <v>44755</v>
      </c>
      <c r="E484" s="16">
        <v>2.0299999999999998</v>
      </c>
      <c r="F484" s="11">
        <v>60</v>
      </c>
    </row>
    <row r="485" spans="1:6" x14ac:dyDescent="0.25">
      <c r="A485" s="9" t="s">
        <v>1143</v>
      </c>
      <c r="B485" s="9" t="s">
        <v>1110</v>
      </c>
      <c r="C485" s="9" t="s">
        <v>1108</v>
      </c>
      <c r="D485" s="10">
        <v>44671</v>
      </c>
      <c r="E485" s="16">
        <v>6.6779999999999999</v>
      </c>
      <c r="F485" s="11">
        <v>148</v>
      </c>
    </row>
    <row r="486" spans="1:6" x14ac:dyDescent="0.25">
      <c r="A486" s="9" t="s">
        <v>1138</v>
      </c>
      <c r="B486" s="9" t="s">
        <v>1105</v>
      </c>
      <c r="C486" s="9" t="s">
        <v>1106</v>
      </c>
      <c r="D486" s="10">
        <v>44742</v>
      </c>
      <c r="E486" s="16">
        <v>4.5149999999999997</v>
      </c>
      <c r="F486" s="11">
        <v>22</v>
      </c>
    </row>
    <row r="487" spans="1:6" x14ac:dyDescent="0.25">
      <c r="A487" s="9" t="s">
        <v>1133</v>
      </c>
      <c r="B487" s="9" t="s">
        <v>1102</v>
      </c>
      <c r="C487" s="9" t="s">
        <v>1117</v>
      </c>
      <c r="D487" s="10">
        <v>44628</v>
      </c>
      <c r="E487" s="16">
        <v>3.3740000000000001</v>
      </c>
      <c r="F487" s="11">
        <v>142</v>
      </c>
    </row>
    <row r="488" spans="1:6" x14ac:dyDescent="0.25">
      <c r="A488" s="9" t="s">
        <v>1114</v>
      </c>
      <c r="B488" s="9" t="s">
        <v>1121</v>
      </c>
      <c r="C488" s="9" t="s">
        <v>1137</v>
      </c>
      <c r="D488" s="10">
        <v>44629</v>
      </c>
      <c r="E488" s="16">
        <v>5.8520000000000003</v>
      </c>
      <c r="F488" s="11">
        <v>93</v>
      </c>
    </row>
    <row r="489" spans="1:6" x14ac:dyDescent="0.25">
      <c r="A489" s="9" t="s">
        <v>1112</v>
      </c>
      <c r="B489" s="9" t="s">
        <v>1124</v>
      </c>
      <c r="C489" s="9" t="s">
        <v>1146</v>
      </c>
      <c r="D489" s="10">
        <v>44728</v>
      </c>
      <c r="E489" s="16">
        <v>1.75</v>
      </c>
      <c r="F489" s="11">
        <v>208</v>
      </c>
    </row>
    <row r="490" spans="1:6" x14ac:dyDescent="0.25">
      <c r="A490" s="9" t="s">
        <v>1107</v>
      </c>
      <c r="B490" s="9" t="s">
        <v>1102</v>
      </c>
      <c r="C490" s="9" t="s">
        <v>1127</v>
      </c>
      <c r="D490" s="10">
        <v>44742</v>
      </c>
      <c r="E490" s="16">
        <v>5.782</v>
      </c>
      <c r="F490" s="11">
        <v>42</v>
      </c>
    </row>
    <row r="491" spans="1:6" x14ac:dyDescent="0.25">
      <c r="A491" s="9" t="s">
        <v>1144</v>
      </c>
      <c r="B491" s="9" t="s">
        <v>1105</v>
      </c>
      <c r="C491" s="9" t="s">
        <v>1103</v>
      </c>
      <c r="D491" s="10">
        <v>44770</v>
      </c>
      <c r="E491" s="16">
        <v>2.87</v>
      </c>
      <c r="F491" s="11">
        <v>120</v>
      </c>
    </row>
    <row r="492" spans="1:6" x14ac:dyDescent="0.25">
      <c r="A492" s="9" t="s">
        <v>1126</v>
      </c>
      <c r="B492" s="9" t="s">
        <v>1124</v>
      </c>
      <c r="C492" s="9" t="s">
        <v>1108</v>
      </c>
      <c r="D492" s="10">
        <v>44785</v>
      </c>
      <c r="E492" s="16">
        <v>3.0939999999999999</v>
      </c>
      <c r="F492" s="11">
        <v>159</v>
      </c>
    </row>
    <row r="493" spans="1:6" x14ac:dyDescent="0.25">
      <c r="A493" s="9" t="s">
        <v>1120</v>
      </c>
      <c r="B493" s="9" t="s">
        <v>1102</v>
      </c>
      <c r="C493" s="9" t="s">
        <v>1103</v>
      </c>
      <c r="D493" s="10">
        <v>44749</v>
      </c>
      <c r="E493" s="16">
        <v>3.7240000000000002</v>
      </c>
      <c r="F493" s="11">
        <v>316</v>
      </c>
    </row>
    <row r="494" spans="1:6" x14ac:dyDescent="0.25">
      <c r="A494" s="9" t="s">
        <v>1120</v>
      </c>
      <c r="B494" s="9" t="s">
        <v>1121</v>
      </c>
      <c r="C494" s="9" t="s">
        <v>1106</v>
      </c>
      <c r="D494" s="10">
        <v>44798</v>
      </c>
      <c r="E494" s="16">
        <v>12.760999999999999</v>
      </c>
      <c r="F494" s="11">
        <v>47</v>
      </c>
    </row>
    <row r="495" spans="1:6" x14ac:dyDescent="0.25">
      <c r="A495" s="9" t="s">
        <v>1135</v>
      </c>
      <c r="B495" s="9" t="s">
        <v>1124</v>
      </c>
      <c r="C495" s="9" t="s">
        <v>1125</v>
      </c>
      <c r="D495" s="10">
        <v>44578</v>
      </c>
      <c r="E495" s="16">
        <v>3.6960000000000002</v>
      </c>
      <c r="F495" s="11">
        <v>233</v>
      </c>
    </row>
    <row r="496" spans="1:6" x14ac:dyDescent="0.25">
      <c r="A496" s="9" t="s">
        <v>1109</v>
      </c>
      <c r="B496" s="9" t="s">
        <v>1110</v>
      </c>
      <c r="C496" s="9" t="s">
        <v>1153</v>
      </c>
      <c r="D496" s="10">
        <v>44624</v>
      </c>
      <c r="E496" s="16">
        <v>5.2220000000000004</v>
      </c>
      <c r="F496" s="11">
        <v>384</v>
      </c>
    </row>
    <row r="497" spans="1:6" x14ac:dyDescent="0.25">
      <c r="A497" s="9" t="s">
        <v>1128</v>
      </c>
      <c r="B497" s="9" t="s">
        <v>1116</v>
      </c>
      <c r="C497" s="9" t="s">
        <v>1137</v>
      </c>
      <c r="D497" s="10">
        <v>44798</v>
      </c>
      <c r="E497" s="16">
        <v>8.9390000000000001</v>
      </c>
      <c r="F497" s="11">
        <v>4</v>
      </c>
    </row>
    <row r="498" spans="1:6" x14ac:dyDescent="0.25">
      <c r="A498" s="9" t="s">
        <v>1150</v>
      </c>
      <c r="B498" s="9" t="s">
        <v>1102</v>
      </c>
      <c r="C498" s="9" t="s">
        <v>1108</v>
      </c>
      <c r="D498" s="10">
        <v>44666</v>
      </c>
      <c r="E498" s="16">
        <v>2.1560000000000001</v>
      </c>
      <c r="F498" s="11">
        <v>260</v>
      </c>
    </row>
    <row r="499" spans="1:6" x14ac:dyDescent="0.25">
      <c r="A499" s="9" t="s">
        <v>1136</v>
      </c>
      <c r="B499" s="9" t="s">
        <v>1121</v>
      </c>
      <c r="C499" s="9" t="s">
        <v>1130</v>
      </c>
      <c r="D499" s="10">
        <v>44631</v>
      </c>
      <c r="E499" s="16">
        <v>2.38</v>
      </c>
      <c r="F499" s="11">
        <v>22</v>
      </c>
    </row>
    <row r="500" spans="1:6" x14ac:dyDescent="0.25">
      <c r="A500" s="9" t="s">
        <v>1145</v>
      </c>
      <c r="B500" s="9" t="s">
        <v>1121</v>
      </c>
      <c r="C500" s="9" t="s">
        <v>1146</v>
      </c>
      <c r="D500" s="10">
        <v>44701</v>
      </c>
      <c r="E500" s="16">
        <v>3.339</v>
      </c>
      <c r="F500" s="11">
        <v>18</v>
      </c>
    </row>
    <row r="501" spans="1:6" x14ac:dyDescent="0.25">
      <c r="A501" s="9" t="s">
        <v>1118</v>
      </c>
      <c r="B501" s="9" t="s">
        <v>1116</v>
      </c>
      <c r="C501" s="9" t="s">
        <v>1140</v>
      </c>
      <c r="D501" s="10">
        <v>44726</v>
      </c>
      <c r="E501" s="16">
        <v>14.98</v>
      </c>
      <c r="F501" s="11">
        <v>42</v>
      </c>
    </row>
    <row r="502" spans="1:6" x14ac:dyDescent="0.25">
      <c r="A502" s="9" t="s">
        <v>1101</v>
      </c>
      <c r="B502" s="9" t="s">
        <v>1116</v>
      </c>
      <c r="C502" s="9" t="s">
        <v>1115</v>
      </c>
      <c r="D502" s="10">
        <v>44665</v>
      </c>
      <c r="E502" s="16">
        <v>1.512</v>
      </c>
      <c r="F502" s="11">
        <v>73</v>
      </c>
    </row>
    <row r="503" spans="1:6" x14ac:dyDescent="0.25">
      <c r="A503" s="9" t="s">
        <v>1101</v>
      </c>
      <c r="B503" s="9" t="s">
        <v>1121</v>
      </c>
      <c r="C503" s="9" t="s">
        <v>1111</v>
      </c>
      <c r="D503" s="10">
        <v>44749</v>
      </c>
      <c r="E503" s="16">
        <v>6.657</v>
      </c>
      <c r="F503" s="11">
        <v>154</v>
      </c>
    </row>
    <row r="504" spans="1:6" x14ac:dyDescent="0.25">
      <c r="A504" s="9" t="s">
        <v>1148</v>
      </c>
      <c r="B504" s="9" t="s">
        <v>1105</v>
      </c>
      <c r="C504" s="9" t="s">
        <v>1103</v>
      </c>
      <c r="D504" s="10">
        <v>44797</v>
      </c>
      <c r="E504" s="16">
        <v>3.8359999999999999</v>
      </c>
      <c r="F504" s="11">
        <v>71</v>
      </c>
    </row>
    <row r="505" spans="1:6" x14ac:dyDescent="0.25">
      <c r="A505" s="9" t="s">
        <v>1101</v>
      </c>
      <c r="B505" s="9" t="s">
        <v>1105</v>
      </c>
      <c r="C505" s="9" t="s">
        <v>1125</v>
      </c>
      <c r="D505" s="10">
        <v>44616</v>
      </c>
      <c r="E505" s="16">
        <v>8.7710000000000008</v>
      </c>
      <c r="F505" s="11">
        <v>127</v>
      </c>
    </row>
    <row r="506" spans="1:6" x14ac:dyDescent="0.25">
      <c r="A506" s="9" t="s">
        <v>1126</v>
      </c>
      <c r="B506" s="9" t="s">
        <v>1124</v>
      </c>
      <c r="C506" s="9" t="s">
        <v>1146</v>
      </c>
      <c r="D506" s="10">
        <v>44690</v>
      </c>
      <c r="E506" s="16">
        <v>651</v>
      </c>
      <c r="F506" s="11">
        <v>224</v>
      </c>
    </row>
    <row r="507" spans="1:6" x14ac:dyDescent="0.25">
      <c r="A507" s="9" t="s">
        <v>1136</v>
      </c>
      <c r="B507" s="9" t="s">
        <v>1110</v>
      </c>
      <c r="C507" s="9" t="s">
        <v>1153</v>
      </c>
      <c r="D507" s="10">
        <v>44600</v>
      </c>
      <c r="E507" s="16">
        <v>6.7060000000000004</v>
      </c>
      <c r="F507" s="11">
        <v>223</v>
      </c>
    </row>
    <row r="508" spans="1:6" x14ac:dyDescent="0.25">
      <c r="A508" s="9" t="s">
        <v>1131</v>
      </c>
      <c r="B508" s="9" t="s">
        <v>1102</v>
      </c>
      <c r="C508" s="9" t="s">
        <v>1153</v>
      </c>
      <c r="D508" s="10">
        <v>44644</v>
      </c>
      <c r="E508" s="16">
        <v>1.421</v>
      </c>
      <c r="F508" s="11">
        <v>284</v>
      </c>
    </row>
    <row r="509" spans="1:6" x14ac:dyDescent="0.25">
      <c r="A509" s="9" t="s">
        <v>1119</v>
      </c>
      <c r="B509" s="9" t="s">
        <v>1121</v>
      </c>
      <c r="C509" s="9" t="s">
        <v>1127</v>
      </c>
      <c r="D509" s="10">
        <v>44732</v>
      </c>
      <c r="E509" s="16">
        <v>8.5259999999999998</v>
      </c>
      <c r="F509" s="11">
        <v>73</v>
      </c>
    </row>
    <row r="510" spans="1:6" x14ac:dyDescent="0.25">
      <c r="A510" s="9" t="s">
        <v>1123</v>
      </c>
      <c r="B510" s="9" t="s">
        <v>1124</v>
      </c>
      <c r="C510" s="9" t="s">
        <v>1140</v>
      </c>
      <c r="D510" s="10">
        <v>44627</v>
      </c>
      <c r="E510" s="16">
        <v>1.4350000000000001</v>
      </c>
      <c r="F510" s="11">
        <v>112</v>
      </c>
    </row>
    <row r="511" spans="1:6" x14ac:dyDescent="0.25">
      <c r="A511" s="9" t="s">
        <v>1136</v>
      </c>
      <c r="B511" s="9" t="s">
        <v>1110</v>
      </c>
      <c r="C511" s="9" t="s">
        <v>1137</v>
      </c>
      <c r="D511" s="10">
        <v>44732</v>
      </c>
      <c r="E511" s="16">
        <v>7.4340000000000002</v>
      </c>
      <c r="F511" s="11">
        <v>85</v>
      </c>
    </row>
    <row r="512" spans="1:6" x14ac:dyDescent="0.25">
      <c r="A512" s="9" t="s">
        <v>1112</v>
      </c>
      <c r="B512" s="9" t="s">
        <v>1116</v>
      </c>
      <c r="C512" s="9" t="s">
        <v>1130</v>
      </c>
      <c r="D512" s="10">
        <v>44609</v>
      </c>
      <c r="E512" s="16">
        <v>15.316000000000001</v>
      </c>
      <c r="F512" s="11">
        <v>270</v>
      </c>
    </row>
    <row r="513" spans="1:6" x14ac:dyDescent="0.25">
      <c r="A513" s="9" t="s">
        <v>1148</v>
      </c>
      <c r="B513" s="9" t="s">
        <v>1102</v>
      </c>
      <c r="C513" s="9" t="s">
        <v>1113</v>
      </c>
      <c r="D513" s="10">
        <v>44587</v>
      </c>
      <c r="E513" s="16">
        <v>10.478999999999999</v>
      </c>
      <c r="F513" s="11">
        <v>45</v>
      </c>
    </row>
    <row r="514" spans="1:6" x14ac:dyDescent="0.25">
      <c r="A514" s="9" t="s">
        <v>1148</v>
      </c>
      <c r="B514" s="9" t="s">
        <v>1110</v>
      </c>
      <c r="C514" s="9" t="s">
        <v>1103</v>
      </c>
      <c r="D514" s="10">
        <v>44683</v>
      </c>
      <c r="E514" s="16">
        <v>2.7509999999999999</v>
      </c>
      <c r="F514" s="11">
        <v>153</v>
      </c>
    </row>
    <row r="515" spans="1:6" x14ac:dyDescent="0.25">
      <c r="A515" s="9" t="s">
        <v>1133</v>
      </c>
      <c r="B515" s="9" t="s">
        <v>1124</v>
      </c>
      <c r="C515" s="9" t="s">
        <v>1113</v>
      </c>
      <c r="D515" s="10">
        <v>44749</v>
      </c>
      <c r="E515" s="16">
        <v>12.586</v>
      </c>
      <c r="F515" s="11">
        <v>7</v>
      </c>
    </row>
    <row r="516" spans="1:6" x14ac:dyDescent="0.25">
      <c r="A516" s="9" t="s">
        <v>1119</v>
      </c>
      <c r="B516" s="9" t="s">
        <v>1110</v>
      </c>
      <c r="C516" s="9" t="s">
        <v>1151</v>
      </c>
      <c r="D516" s="10">
        <v>44795</v>
      </c>
      <c r="E516" s="16">
        <v>2.786</v>
      </c>
      <c r="F516" s="11">
        <v>51</v>
      </c>
    </row>
    <row r="517" spans="1:6" x14ac:dyDescent="0.25">
      <c r="A517" s="9" t="s">
        <v>1126</v>
      </c>
      <c r="B517" s="9" t="s">
        <v>1110</v>
      </c>
      <c r="C517" s="9" t="s">
        <v>1115</v>
      </c>
      <c r="D517" s="10">
        <v>44784</v>
      </c>
      <c r="E517" s="16">
        <v>2.3029999999999999</v>
      </c>
      <c r="F517" s="11">
        <v>67</v>
      </c>
    </row>
    <row r="518" spans="1:6" x14ac:dyDescent="0.25">
      <c r="A518" s="9" t="s">
        <v>1128</v>
      </c>
      <c r="B518" s="9" t="s">
        <v>1102</v>
      </c>
      <c r="C518" s="9" t="s">
        <v>1113</v>
      </c>
      <c r="D518" s="10">
        <v>44574</v>
      </c>
      <c r="E518" s="16">
        <v>8.1129999999999995</v>
      </c>
      <c r="F518" s="11">
        <v>194</v>
      </c>
    </row>
    <row r="519" spans="1:6" x14ac:dyDescent="0.25">
      <c r="A519" s="9" t="s">
        <v>1114</v>
      </c>
      <c r="B519" s="9" t="s">
        <v>1110</v>
      </c>
      <c r="C519" s="9" t="s">
        <v>1117</v>
      </c>
      <c r="D519" s="10">
        <v>44622</v>
      </c>
      <c r="E519" s="16">
        <v>12.271000000000001</v>
      </c>
      <c r="F519" s="11">
        <v>116</v>
      </c>
    </row>
    <row r="520" spans="1:6" x14ac:dyDescent="0.25">
      <c r="A520" s="9" t="s">
        <v>1128</v>
      </c>
      <c r="B520" s="9" t="s">
        <v>1110</v>
      </c>
      <c r="C520" s="9" t="s">
        <v>1147</v>
      </c>
      <c r="D520" s="10">
        <v>44769</v>
      </c>
      <c r="E520" s="16">
        <v>11.298</v>
      </c>
      <c r="F520" s="11">
        <v>41</v>
      </c>
    </row>
    <row r="521" spans="1:6" x14ac:dyDescent="0.25">
      <c r="A521" s="9" t="s">
        <v>1144</v>
      </c>
      <c r="B521" s="9" t="s">
        <v>1116</v>
      </c>
      <c r="C521" s="9" t="s">
        <v>1127</v>
      </c>
      <c r="D521" s="10">
        <v>44630</v>
      </c>
      <c r="E521" s="16">
        <v>15.855</v>
      </c>
      <c r="F521" s="11">
        <v>111</v>
      </c>
    </row>
    <row r="522" spans="1:6" x14ac:dyDescent="0.25">
      <c r="A522" s="9" t="s">
        <v>1129</v>
      </c>
      <c r="B522" s="9" t="s">
        <v>1121</v>
      </c>
      <c r="C522" s="9" t="s">
        <v>1106</v>
      </c>
      <c r="D522" s="10">
        <v>44796</v>
      </c>
      <c r="E522" s="16">
        <v>12.404</v>
      </c>
      <c r="F522" s="11">
        <v>334</v>
      </c>
    </row>
    <row r="523" spans="1:6" x14ac:dyDescent="0.25">
      <c r="A523" s="9" t="s">
        <v>1131</v>
      </c>
      <c r="B523" s="9" t="s">
        <v>1121</v>
      </c>
      <c r="C523" s="9" t="s">
        <v>1125</v>
      </c>
      <c r="D523" s="10">
        <v>44676</v>
      </c>
      <c r="E523" s="16">
        <v>3.99</v>
      </c>
      <c r="F523" s="11">
        <v>155</v>
      </c>
    </row>
    <row r="524" spans="1:6" x14ac:dyDescent="0.25">
      <c r="A524" s="9" t="s">
        <v>1138</v>
      </c>
      <c r="B524" s="9" t="s">
        <v>1102</v>
      </c>
      <c r="C524" s="9" t="s">
        <v>1132</v>
      </c>
      <c r="D524" s="10">
        <v>44627</v>
      </c>
      <c r="E524" s="16">
        <v>10.808</v>
      </c>
      <c r="F524" s="11">
        <v>407</v>
      </c>
    </row>
    <row r="525" spans="1:6" x14ac:dyDescent="0.25">
      <c r="A525" s="9" t="s">
        <v>1141</v>
      </c>
      <c r="B525" s="9" t="s">
        <v>1102</v>
      </c>
      <c r="C525" s="9" t="s">
        <v>1130</v>
      </c>
      <c r="D525" s="10">
        <v>44754</v>
      </c>
      <c r="E525" s="16">
        <v>4.8579999999999997</v>
      </c>
      <c r="F525" s="11">
        <v>52</v>
      </c>
    </row>
    <row r="526" spans="1:6" x14ac:dyDescent="0.25">
      <c r="A526" s="9" t="s">
        <v>1148</v>
      </c>
      <c r="B526" s="9" t="s">
        <v>1121</v>
      </c>
      <c r="C526" s="9" t="s">
        <v>1122</v>
      </c>
      <c r="D526" s="10">
        <v>44697</v>
      </c>
      <c r="E526" s="16">
        <v>7.742</v>
      </c>
      <c r="F526" s="11">
        <v>138</v>
      </c>
    </row>
    <row r="527" spans="1:6" x14ac:dyDescent="0.25">
      <c r="A527" s="9" t="s">
        <v>1114</v>
      </c>
      <c r="B527" s="9" t="s">
        <v>1105</v>
      </c>
      <c r="C527" s="9" t="s">
        <v>1111</v>
      </c>
      <c r="D527" s="10">
        <v>44622</v>
      </c>
      <c r="E527" s="16">
        <v>3.7519999999999998</v>
      </c>
      <c r="F527" s="11">
        <v>70</v>
      </c>
    </row>
    <row r="528" spans="1:6" x14ac:dyDescent="0.25">
      <c r="A528" s="9" t="s">
        <v>1128</v>
      </c>
      <c r="B528" s="9" t="s">
        <v>1116</v>
      </c>
      <c r="C528" s="9" t="s">
        <v>1106</v>
      </c>
      <c r="D528" s="10">
        <v>44711</v>
      </c>
      <c r="E528" s="16">
        <v>1.218</v>
      </c>
      <c r="F528" s="11">
        <v>149</v>
      </c>
    </row>
    <row r="529" spans="1:6" x14ac:dyDescent="0.25">
      <c r="A529" s="9" t="s">
        <v>1128</v>
      </c>
      <c r="B529" s="9" t="s">
        <v>1102</v>
      </c>
      <c r="C529" s="9" t="s">
        <v>1140</v>
      </c>
      <c r="D529" s="10">
        <v>44722</v>
      </c>
      <c r="E529" s="16">
        <v>10.983000000000001</v>
      </c>
      <c r="F529" s="11">
        <v>179</v>
      </c>
    </row>
    <row r="530" spans="1:6" x14ac:dyDescent="0.25">
      <c r="A530" s="9" t="s">
        <v>1118</v>
      </c>
      <c r="B530" s="9" t="s">
        <v>1121</v>
      </c>
      <c r="C530" s="9" t="s">
        <v>1113</v>
      </c>
      <c r="D530" s="10">
        <v>44767</v>
      </c>
      <c r="E530" s="16">
        <v>6.7690000000000001</v>
      </c>
      <c r="F530" s="11">
        <v>353</v>
      </c>
    </row>
    <row r="531" spans="1:6" x14ac:dyDescent="0.25">
      <c r="A531" s="9" t="s">
        <v>1129</v>
      </c>
      <c r="B531" s="9" t="s">
        <v>1116</v>
      </c>
      <c r="C531" s="9" t="s">
        <v>1103</v>
      </c>
      <c r="D531" s="10">
        <v>44721</v>
      </c>
      <c r="E531" s="16">
        <v>4.3609999999999998</v>
      </c>
      <c r="F531" s="11">
        <v>97</v>
      </c>
    </row>
    <row r="532" spans="1:6" x14ac:dyDescent="0.25">
      <c r="A532" s="9" t="s">
        <v>1138</v>
      </c>
      <c r="B532" s="9" t="s">
        <v>1121</v>
      </c>
      <c r="C532" s="9" t="s">
        <v>1132</v>
      </c>
      <c r="D532" s="10">
        <v>44693</v>
      </c>
      <c r="E532" s="16">
        <v>777</v>
      </c>
      <c r="F532" s="11">
        <v>60</v>
      </c>
    </row>
    <row r="533" spans="1:6" x14ac:dyDescent="0.25">
      <c r="A533" s="9" t="s">
        <v>1114</v>
      </c>
      <c r="B533" s="9" t="s">
        <v>1121</v>
      </c>
      <c r="C533" s="9" t="s">
        <v>1127</v>
      </c>
      <c r="D533" s="10">
        <v>44690</v>
      </c>
      <c r="E533" s="16">
        <v>3.843</v>
      </c>
      <c r="F533" s="11">
        <v>5</v>
      </c>
    </row>
    <row r="534" spans="1:6" x14ac:dyDescent="0.25">
      <c r="A534" s="9" t="s">
        <v>1118</v>
      </c>
      <c r="B534" s="9" t="s">
        <v>1124</v>
      </c>
      <c r="C534" s="9" t="s">
        <v>1140</v>
      </c>
      <c r="D534" s="10">
        <v>44782</v>
      </c>
      <c r="E534" s="16">
        <v>6.93</v>
      </c>
      <c r="F534" s="11">
        <v>182</v>
      </c>
    </row>
    <row r="535" spans="1:6" x14ac:dyDescent="0.25">
      <c r="A535" s="9" t="s">
        <v>1104</v>
      </c>
      <c r="B535" s="9" t="s">
        <v>1105</v>
      </c>
      <c r="C535" s="9" t="s">
        <v>1147</v>
      </c>
      <c r="D535" s="10">
        <v>44664</v>
      </c>
      <c r="E535" s="16">
        <v>5.7329999999999997</v>
      </c>
      <c r="F535" s="11">
        <v>114</v>
      </c>
    </row>
    <row r="536" spans="1:6" x14ac:dyDescent="0.25">
      <c r="A536" s="9" t="s">
        <v>1143</v>
      </c>
      <c r="B536" s="9" t="s">
        <v>1121</v>
      </c>
      <c r="C536" s="9" t="s">
        <v>1152</v>
      </c>
      <c r="D536" s="10">
        <v>44683</v>
      </c>
      <c r="E536" s="16">
        <v>8.3930000000000007</v>
      </c>
      <c r="F536" s="11">
        <v>46</v>
      </c>
    </row>
    <row r="537" spans="1:6" x14ac:dyDescent="0.25">
      <c r="A537" s="9" t="s">
        <v>1149</v>
      </c>
      <c r="B537" s="9" t="s">
        <v>1121</v>
      </c>
      <c r="C537" s="9" t="s">
        <v>1113</v>
      </c>
      <c r="D537" s="10">
        <v>44782</v>
      </c>
      <c r="E537" s="16">
        <v>3.8220000000000001</v>
      </c>
      <c r="F537" s="11">
        <v>320</v>
      </c>
    </row>
    <row r="538" spans="1:6" x14ac:dyDescent="0.25">
      <c r="A538" s="9" t="s">
        <v>1145</v>
      </c>
      <c r="B538" s="9" t="s">
        <v>1110</v>
      </c>
      <c r="C538" s="9" t="s">
        <v>1146</v>
      </c>
      <c r="D538" s="10">
        <v>44796</v>
      </c>
      <c r="E538" s="16">
        <v>6.3419999999999996</v>
      </c>
      <c r="F538" s="11">
        <v>178</v>
      </c>
    </row>
    <row r="539" spans="1:6" x14ac:dyDescent="0.25">
      <c r="A539" s="9" t="s">
        <v>1114</v>
      </c>
      <c r="B539" s="9" t="s">
        <v>1105</v>
      </c>
      <c r="C539" s="9" t="s">
        <v>1134</v>
      </c>
      <c r="D539" s="10">
        <v>44694</v>
      </c>
      <c r="E539" s="16">
        <v>6.51</v>
      </c>
      <c r="F539" s="11">
        <v>170</v>
      </c>
    </row>
    <row r="540" spans="1:6" x14ac:dyDescent="0.25">
      <c r="A540" s="9" t="s">
        <v>1126</v>
      </c>
      <c r="B540" s="9" t="s">
        <v>1121</v>
      </c>
      <c r="C540" s="9" t="s">
        <v>1140</v>
      </c>
      <c r="D540" s="10">
        <v>44593</v>
      </c>
      <c r="E540" s="16">
        <v>10.170999999999999</v>
      </c>
      <c r="F540" s="11">
        <v>67</v>
      </c>
    </row>
    <row r="541" spans="1:6" x14ac:dyDescent="0.25">
      <c r="A541" s="9" t="s">
        <v>1145</v>
      </c>
      <c r="B541" s="9" t="s">
        <v>1121</v>
      </c>
      <c r="C541" s="9" t="s">
        <v>1117</v>
      </c>
      <c r="D541" s="10">
        <v>44735</v>
      </c>
      <c r="E541" s="16">
        <v>5.9080000000000004</v>
      </c>
      <c r="F541" s="11">
        <v>301</v>
      </c>
    </row>
    <row r="542" spans="1:6" x14ac:dyDescent="0.25">
      <c r="A542" s="9" t="s">
        <v>1148</v>
      </c>
      <c r="B542" s="9" t="s">
        <v>1102</v>
      </c>
      <c r="C542" s="9" t="s">
        <v>1147</v>
      </c>
      <c r="D542" s="10">
        <v>44705</v>
      </c>
      <c r="E542" s="16">
        <v>10.164</v>
      </c>
      <c r="F542" s="11">
        <v>134</v>
      </c>
    </row>
    <row r="543" spans="1:6" x14ac:dyDescent="0.25">
      <c r="A543" s="9" t="s">
        <v>1109</v>
      </c>
      <c r="B543" s="9" t="s">
        <v>1124</v>
      </c>
      <c r="C543" s="9" t="s">
        <v>1103</v>
      </c>
      <c r="D543" s="10">
        <v>44652</v>
      </c>
      <c r="E543" s="16">
        <v>1.0640000000000001</v>
      </c>
      <c r="F543" s="11">
        <v>211</v>
      </c>
    </row>
    <row r="544" spans="1:6" x14ac:dyDescent="0.25">
      <c r="A544" s="9" t="s">
        <v>1145</v>
      </c>
      <c r="B544" s="9" t="s">
        <v>1124</v>
      </c>
      <c r="C544" s="9" t="s">
        <v>1153</v>
      </c>
      <c r="D544" s="10">
        <v>44769</v>
      </c>
      <c r="E544" s="16">
        <v>9.7159999999999993</v>
      </c>
      <c r="F544" s="11">
        <v>151</v>
      </c>
    </row>
    <row r="545" spans="1:6" x14ac:dyDescent="0.25">
      <c r="A545" s="9" t="s">
        <v>1150</v>
      </c>
      <c r="B545" s="9" t="s">
        <v>1105</v>
      </c>
      <c r="C545" s="9" t="s">
        <v>1108</v>
      </c>
      <c r="D545" s="10">
        <v>44588</v>
      </c>
      <c r="E545" s="16">
        <v>22.05</v>
      </c>
      <c r="F545" s="11">
        <v>208</v>
      </c>
    </row>
    <row r="546" spans="1:6" x14ac:dyDescent="0.25">
      <c r="A546" s="9" t="s">
        <v>1109</v>
      </c>
      <c r="B546" s="9" t="s">
        <v>1105</v>
      </c>
      <c r="C546" s="9" t="s">
        <v>1147</v>
      </c>
      <c r="D546" s="10">
        <v>44785</v>
      </c>
      <c r="E546" s="16">
        <v>2.5409999999999999</v>
      </c>
      <c r="F546" s="11">
        <v>134</v>
      </c>
    </row>
    <row r="547" spans="1:6" x14ac:dyDescent="0.25">
      <c r="A547" s="9" t="s">
        <v>1107</v>
      </c>
      <c r="B547" s="9" t="s">
        <v>1124</v>
      </c>
      <c r="C547" s="9" t="s">
        <v>1142</v>
      </c>
      <c r="D547" s="10">
        <v>44593</v>
      </c>
      <c r="E547" s="16">
        <v>9.9890000000000008</v>
      </c>
      <c r="F547" s="11">
        <v>49</v>
      </c>
    </row>
    <row r="548" spans="1:6" x14ac:dyDescent="0.25">
      <c r="A548" s="9" t="s">
        <v>1119</v>
      </c>
      <c r="B548" s="9" t="s">
        <v>1105</v>
      </c>
      <c r="C548" s="9" t="s">
        <v>1115</v>
      </c>
      <c r="D548" s="10">
        <v>44622</v>
      </c>
      <c r="E548" s="16">
        <v>4.7389999999999999</v>
      </c>
      <c r="F548" s="11">
        <v>204</v>
      </c>
    </row>
    <row r="549" spans="1:6" x14ac:dyDescent="0.25">
      <c r="A549" s="9" t="s">
        <v>1144</v>
      </c>
      <c r="B549" s="9" t="s">
        <v>1110</v>
      </c>
      <c r="C549" s="9" t="s">
        <v>1113</v>
      </c>
      <c r="D549" s="10">
        <v>44742</v>
      </c>
      <c r="E549" s="16">
        <v>3.1850000000000001</v>
      </c>
      <c r="F549" s="11">
        <v>34</v>
      </c>
    </row>
    <row r="550" spans="1:6" x14ac:dyDescent="0.25">
      <c r="A550" s="9" t="s">
        <v>1149</v>
      </c>
      <c r="B550" s="9" t="s">
        <v>1110</v>
      </c>
      <c r="C550" s="9" t="s">
        <v>1134</v>
      </c>
      <c r="D550" s="10">
        <v>44578</v>
      </c>
      <c r="E550" s="16">
        <v>8.2249999999999996</v>
      </c>
      <c r="F550" s="11">
        <v>91</v>
      </c>
    </row>
    <row r="551" spans="1:6" x14ac:dyDescent="0.25">
      <c r="A551" s="9" t="s">
        <v>1118</v>
      </c>
      <c r="B551" s="9" t="s">
        <v>1121</v>
      </c>
      <c r="C551" s="9" t="s">
        <v>1132</v>
      </c>
      <c r="D551" s="10">
        <v>44749</v>
      </c>
      <c r="E551" s="16">
        <v>14.301</v>
      </c>
      <c r="F551" s="11">
        <v>130</v>
      </c>
    </row>
    <row r="552" spans="1:6" x14ac:dyDescent="0.25">
      <c r="A552" s="9" t="s">
        <v>1123</v>
      </c>
      <c r="B552" s="9" t="s">
        <v>1116</v>
      </c>
      <c r="C552" s="9" t="s">
        <v>1103</v>
      </c>
      <c r="D552" s="10">
        <v>44592</v>
      </c>
      <c r="E552" s="16">
        <v>1.3160000000000001</v>
      </c>
      <c r="F552" s="11">
        <v>107</v>
      </c>
    </row>
    <row r="553" spans="1:6" x14ac:dyDescent="0.25">
      <c r="A553" s="9" t="s">
        <v>1129</v>
      </c>
      <c r="B553" s="9" t="s">
        <v>1102</v>
      </c>
      <c r="C553" s="9" t="s">
        <v>1113</v>
      </c>
      <c r="D553" s="10">
        <v>44783</v>
      </c>
      <c r="E553" s="16">
        <v>3.4860000000000002</v>
      </c>
      <c r="F553" s="11">
        <v>121</v>
      </c>
    </row>
    <row r="554" spans="1:6" x14ac:dyDescent="0.25">
      <c r="A554" s="9" t="s">
        <v>1129</v>
      </c>
      <c r="B554" s="9" t="s">
        <v>1121</v>
      </c>
      <c r="C554" s="9" t="s">
        <v>1108</v>
      </c>
      <c r="D554" s="10">
        <v>44791</v>
      </c>
      <c r="E554" s="16">
        <v>13.93</v>
      </c>
      <c r="F554" s="11">
        <v>339</v>
      </c>
    </row>
    <row r="555" spans="1:6" x14ac:dyDescent="0.25">
      <c r="A555" s="9" t="s">
        <v>1118</v>
      </c>
      <c r="B555" s="9" t="s">
        <v>1116</v>
      </c>
      <c r="C555" s="9" t="s">
        <v>1139</v>
      </c>
      <c r="D555" s="10">
        <v>44727</v>
      </c>
      <c r="E555" s="16">
        <v>5.5090000000000003</v>
      </c>
      <c r="F555" s="11">
        <v>321</v>
      </c>
    </row>
    <row r="556" spans="1:6" x14ac:dyDescent="0.25">
      <c r="A556" s="9" t="s">
        <v>1128</v>
      </c>
      <c r="B556" s="9" t="s">
        <v>1121</v>
      </c>
      <c r="C556" s="9" t="s">
        <v>1151</v>
      </c>
      <c r="D556" s="10">
        <v>44587</v>
      </c>
      <c r="E556" s="16">
        <v>8.4700000000000006</v>
      </c>
      <c r="F556" s="11">
        <v>9</v>
      </c>
    </row>
    <row r="557" spans="1:6" x14ac:dyDescent="0.25">
      <c r="A557" s="9" t="s">
        <v>1144</v>
      </c>
      <c r="B557" s="9" t="s">
        <v>1121</v>
      </c>
      <c r="C557" s="9" t="s">
        <v>1134</v>
      </c>
      <c r="D557" s="10">
        <v>44680</v>
      </c>
      <c r="E557" s="16">
        <v>77</v>
      </c>
      <c r="F557" s="11">
        <v>69</v>
      </c>
    </row>
    <row r="558" spans="1:6" x14ac:dyDescent="0.25">
      <c r="A558" s="9" t="s">
        <v>1123</v>
      </c>
      <c r="B558" s="9" t="s">
        <v>1124</v>
      </c>
      <c r="C558" s="9" t="s">
        <v>1139</v>
      </c>
      <c r="D558" s="10">
        <v>44623</v>
      </c>
      <c r="E558" s="16">
        <v>3.3809999999999998</v>
      </c>
      <c r="F558" s="11">
        <v>72</v>
      </c>
    </row>
    <row r="559" spans="1:6" x14ac:dyDescent="0.25">
      <c r="A559" s="9" t="s">
        <v>1136</v>
      </c>
      <c r="B559" s="9" t="s">
        <v>1110</v>
      </c>
      <c r="C559" s="9" t="s">
        <v>1142</v>
      </c>
      <c r="D559" s="10">
        <v>44614</v>
      </c>
      <c r="E559" s="16">
        <v>4.1020000000000003</v>
      </c>
      <c r="F559" s="11">
        <v>392</v>
      </c>
    </row>
    <row r="560" spans="1:6" x14ac:dyDescent="0.25">
      <c r="A560" s="9" t="s">
        <v>1112</v>
      </c>
      <c r="B560" s="9" t="s">
        <v>1121</v>
      </c>
      <c r="C560" s="9" t="s">
        <v>1111</v>
      </c>
      <c r="D560" s="10">
        <v>44624</v>
      </c>
      <c r="E560" s="16">
        <v>3.577</v>
      </c>
      <c r="F560" s="11">
        <v>158</v>
      </c>
    </row>
    <row r="561" spans="1:6" x14ac:dyDescent="0.25">
      <c r="A561" s="9" t="s">
        <v>1138</v>
      </c>
      <c r="B561" s="9" t="s">
        <v>1105</v>
      </c>
      <c r="C561" s="9" t="s">
        <v>1111</v>
      </c>
      <c r="D561" s="10">
        <v>44749</v>
      </c>
      <c r="E561" s="16">
        <v>2.9750000000000001</v>
      </c>
      <c r="F561" s="11">
        <v>9</v>
      </c>
    </row>
    <row r="562" spans="1:6" x14ac:dyDescent="0.25">
      <c r="A562" s="9" t="s">
        <v>1145</v>
      </c>
      <c r="B562" s="9" t="s">
        <v>1116</v>
      </c>
      <c r="C562" s="9" t="s">
        <v>1152</v>
      </c>
      <c r="D562" s="10">
        <v>44729</v>
      </c>
      <c r="E562" s="16">
        <v>4.1369999999999996</v>
      </c>
      <c r="F562" s="11">
        <v>347</v>
      </c>
    </row>
    <row r="563" spans="1:6" x14ac:dyDescent="0.25">
      <c r="A563" s="9" t="s">
        <v>1109</v>
      </c>
      <c r="B563" s="9" t="s">
        <v>1124</v>
      </c>
      <c r="C563" s="9" t="s">
        <v>1152</v>
      </c>
      <c r="D563" s="10">
        <v>44775</v>
      </c>
      <c r="E563" s="16">
        <v>9.5410000000000004</v>
      </c>
      <c r="F563" s="11">
        <v>114</v>
      </c>
    </row>
    <row r="564" spans="1:6" x14ac:dyDescent="0.25">
      <c r="A564" s="9" t="s">
        <v>1112</v>
      </c>
      <c r="B564" s="9" t="s">
        <v>1121</v>
      </c>
      <c r="C564" s="9" t="s">
        <v>1151</v>
      </c>
      <c r="D564" s="10">
        <v>44785</v>
      </c>
      <c r="E564" s="16">
        <v>8.0009999999999994</v>
      </c>
      <c r="F564" s="11">
        <v>120</v>
      </c>
    </row>
    <row r="565" spans="1:6" x14ac:dyDescent="0.25">
      <c r="A565" s="9" t="s">
        <v>1148</v>
      </c>
      <c r="B565" s="9" t="s">
        <v>1116</v>
      </c>
      <c r="C565" s="9" t="s">
        <v>1108</v>
      </c>
      <c r="D565" s="10">
        <v>44589</v>
      </c>
      <c r="E565" s="16">
        <v>5.1520000000000001</v>
      </c>
      <c r="F565" s="11">
        <v>333</v>
      </c>
    </row>
    <row r="566" spans="1:6" x14ac:dyDescent="0.25">
      <c r="A566" s="9" t="s">
        <v>1144</v>
      </c>
      <c r="B566" s="9" t="s">
        <v>1110</v>
      </c>
      <c r="C566" s="9" t="s">
        <v>1122</v>
      </c>
      <c r="D566" s="10">
        <v>44680</v>
      </c>
      <c r="E566" s="16">
        <v>11.116</v>
      </c>
      <c r="F566" s="11">
        <v>432</v>
      </c>
    </row>
    <row r="567" spans="1:6" x14ac:dyDescent="0.25">
      <c r="A567" s="9" t="s">
        <v>1128</v>
      </c>
      <c r="B567" s="9" t="s">
        <v>1110</v>
      </c>
      <c r="C567" s="9" t="s">
        <v>1140</v>
      </c>
      <c r="D567" s="10">
        <v>44656</v>
      </c>
      <c r="E567" s="16">
        <v>13.076000000000001</v>
      </c>
      <c r="F567" s="11">
        <v>236</v>
      </c>
    </row>
    <row r="568" spans="1:6" x14ac:dyDescent="0.25">
      <c r="A568" s="9" t="s">
        <v>1136</v>
      </c>
      <c r="B568" s="9" t="s">
        <v>1124</v>
      </c>
      <c r="C568" s="9" t="s">
        <v>1140</v>
      </c>
      <c r="D568" s="10">
        <v>44579</v>
      </c>
      <c r="E568" s="16">
        <v>10.212999999999999</v>
      </c>
      <c r="F568" s="11">
        <v>135</v>
      </c>
    </row>
    <row r="569" spans="1:6" x14ac:dyDescent="0.25">
      <c r="A569" s="9" t="s">
        <v>1101</v>
      </c>
      <c r="B569" s="9" t="s">
        <v>1102</v>
      </c>
      <c r="C569" s="9" t="s">
        <v>1151</v>
      </c>
      <c r="D569" s="10">
        <v>44697</v>
      </c>
      <c r="E569" s="16">
        <v>2.4849999999999999</v>
      </c>
      <c r="F569" s="11">
        <v>97</v>
      </c>
    </row>
    <row r="570" spans="1:6" x14ac:dyDescent="0.25">
      <c r="A570" s="9" t="s">
        <v>1144</v>
      </c>
      <c r="B570" s="9" t="s">
        <v>1110</v>
      </c>
      <c r="C570" s="9" t="s">
        <v>1139</v>
      </c>
      <c r="D570" s="10">
        <v>44797</v>
      </c>
      <c r="E570" s="16">
        <v>8.7149999999999999</v>
      </c>
      <c r="F570" s="11">
        <v>168</v>
      </c>
    </row>
    <row r="571" spans="1:6" x14ac:dyDescent="0.25">
      <c r="A571" s="9" t="s">
        <v>1133</v>
      </c>
      <c r="B571" s="9" t="s">
        <v>1105</v>
      </c>
      <c r="C571" s="9" t="s">
        <v>1106</v>
      </c>
      <c r="D571" s="10">
        <v>44579</v>
      </c>
      <c r="E571" s="16">
        <v>273</v>
      </c>
      <c r="F571" s="11">
        <v>402</v>
      </c>
    </row>
    <row r="572" spans="1:6" x14ac:dyDescent="0.25">
      <c r="A572" s="9" t="s">
        <v>1136</v>
      </c>
      <c r="B572" s="9" t="s">
        <v>1121</v>
      </c>
      <c r="C572" s="9" t="s">
        <v>1125</v>
      </c>
      <c r="D572" s="10">
        <v>44795</v>
      </c>
      <c r="E572" s="16">
        <v>7.6230000000000002</v>
      </c>
      <c r="F572" s="11">
        <v>10</v>
      </c>
    </row>
    <row r="573" spans="1:6" x14ac:dyDescent="0.25">
      <c r="A573" s="9" t="s">
        <v>1114</v>
      </c>
      <c r="B573" s="9" t="s">
        <v>1102</v>
      </c>
      <c r="C573" s="9" t="s">
        <v>1113</v>
      </c>
      <c r="D573" s="10">
        <v>44627</v>
      </c>
      <c r="E573" s="16">
        <v>7</v>
      </c>
      <c r="F573" s="11">
        <v>84</v>
      </c>
    </row>
    <row r="574" spans="1:6" x14ac:dyDescent="0.25">
      <c r="A574" s="9" t="s">
        <v>1129</v>
      </c>
      <c r="B574" s="9" t="s">
        <v>1102</v>
      </c>
      <c r="C574" s="9" t="s">
        <v>1147</v>
      </c>
      <c r="D574" s="10">
        <v>44624</v>
      </c>
      <c r="E574" s="16">
        <v>3.01</v>
      </c>
      <c r="F574" s="11">
        <v>69</v>
      </c>
    </row>
    <row r="575" spans="1:6" x14ac:dyDescent="0.25">
      <c r="A575" s="9" t="s">
        <v>1149</v>
      </c>
      <c r="B575" s="9" t="s">
        <v>1124</v>
      </c>
      <c r="C575" s="9" t="s">
        <v>1140</v>
      </c>
      <c r="D575" s="10">
        <v>44673</v>
      </c>
      <c r="E575" s="16">
        <v>11.55</v>
      </c>
      <c r="F575" s="11">
        <v>111</v>
      </c>
    </row>
    <row r="576" spans="1:6" x14ac:dyDescent="0.25">
      <c r="A576" s="9" t="s">
        <v>1136</v>
      </c>
      <c r="B576" s="9" t="s">
        <v>1110</v>
      </c>
      <c r="C576" s="9" t="s">
        <v>1132</v>
      </c>
      <c r="D576" s="10">
        <v>44721</v>
      </c>
      <c r="E576" s="16">
        <v>4.0460000000000003</v>
      </c>
      <c r="F576" s="11">
        <v>89</v>
      </c>
    </row>
    <row r="577" spans="1:6" x14ac:dyDescent="0.25">
      <c r="A577" s="9" t="s">
        <v>1109</v>
      </c>
      <c r="B577" s="9" t="s">
        <v>1124</v>
      </c>
      <c r="C577" s="9" t="s">
        <v>1137</v>
      </c>
      <c r="D577" s="10">
        <v>44767</v>
      </c>
      <c r="E577" s="16">
        <v>8.9039999999999999</v>
      </c>
      <c r="F577" s="11">
        <v>199</v>
      </c>
    </row>
    <row r="578" spans="1:6" x14ac:dyDescent="0.25">
      <c r="A578" s="9" t="s">
        <v>1109</v>
      </c>
      <c r="B578" s="9" t="s">
        <v>1105</v>
      </c>
      <c r="C578" s="9" t="s">
        <v>1111</v>
      </c>
      <c r="D578" s="10">
        <v>44776</v>
      </c>
      <c r="E578" s="16">
        <v>11.298</v>
      </c>
      <c r="F578" s="11">
        <v>89</v>
      </c>
    </row>
    <row r="579" spans="1:6" x14ac:dyDescent="0.25">
      <c r="A579" s="9" t="s">
        <v>1119</v>
      </c>
      <c r="B579" s="9" t="s">
        <v>1110</v>
      </c>
      <c r="C579" s="9" t="s">
        <v>1140</v>
      </c>
      <c r="D579" s="10">
        <v>44776</v>
      </c>
      <c r="E579" s="16">
        <v>4.3959999999999999</v>
      </c>
      <c r="F579" s="11">
        <v>131</v>
      </c>
    </row>
    <row r="580" spans="1:6" x14ac:dyDescent="0.25">
      <c r="A580" s="9" t="s">
        <v>1101</v>
      </c>
      <c r="B580" s="9" t="s">
        <v>1102</v>
      </c>
      <c r="C580" s="9" t="s">
        <v>1132</v>
      </c>
      <c r="D580" s="10">
        <v>44684</v>
      </c>
      <c r="E580" s="16">
        <v>12.068</v>
      </c>
      <c r="F580" s="11">
        <v>227</v>
      </c>
    </row>
    <row r="581" spans="1:6" x14ac:dyDescent="0.25">
      <c r="A581" s="9" t="s">
        <v>1135</v>
      </c>
      <c r="B581" s="9" t="s">
        <v>1124</v>
      </c>
      <c r="C581" s="9" t="s">
        <v>1115</v>
      </c>
      <c r="D581" s="10">
        <v>44580</v>
      </c>
      <c r="E581" s="16">
        <v>9.7720000000000002</v>
      </c>
      <c r="F581" s="11">
        <v>301</v>
      </c>
    </row>
    <row r="582" spans="1:6" x14ac:dyDescent="0.25">
      <c r="A582" s="9" t="s">
        <v>1131</v>
      </c>
      <c r="B582" s="9" t="s">
        <v>1121</v>
      </c>
      <c r="C582" s="9" t="s">
        <v>1117</v>
      </c>
      <c r="D582" s="10">
        <v>44603</v>
      </c>
      <c r="E582" s="16">
        <v>10.458</v>
      </c>
      <c r="F582" s="11">
        <v>316</v>
      </c>
    </row>
    <row r="583" spans="1:6" x14ac:dyDescent="0.25">
      <c r="A583" s="9" t="s">
        <v>1104</v>
      </c>
      <c r="B583" s="9" t="s">
        <v>1105</v>
      </c>
      <c r="C583" s="9" t="s">
        <v>1142</v>
      </c>
      <c r="D583" s="10">
        <v>44726</v>
      </c>
      <c r="E583" s="16">
        <v>6.4260000000000002</v>
      </c>
      <c r="F583" s="11">
        <v>390</v>
      </c>
    </row>
    <row r="584" spans="1:6" x14ac:dyDescent="0.25">
      <c r="A584" s="9" t="s">
        <v>1144</v>
      </c>
      <c r="B584" s="9" t="s">
        <v>1121</v>
      </c>
      <c r="C584" s="9" t="s">
        <v>1117</v>
      </c>
      <c r="D584" s="10">
        <v>44643</v>
      </c>
      <c r="E584" s="16">
        <v>6.1879999999999997</v>
      </c>
      <c r="F584" s="11">
        <v>223</v>
      </c>
    </row>
    <row r="585" spans="1:6" x14ac:dyDescent="0.25">
      <c r="A585" s="9" t="s">
        <v>1148</v>
      </c>
      <c r="B585" s="9" t="s">
        <v>1124</v>
      </c>
      <c r="C585" s="9" t="s">
        <v>1106</v>
      </c>
      <c r="D585" s="10">
        <v>44609</v>
      </c>
      <c r="E585" s="16">
        <v>7.5039999999999996</v>
      </c>
      <c r="F585" s="11">
        <v>101</v>
      </c>
    </row>
    <row r="586" spans="1:6" x14ac:dyDescent="0.25">
      <c r="A586" s="9" t="s">
        <v>1138</v>
      </c>
      <c r="B586" s="9" t="s">
        <v>1124</v>
      </c>
      <c r="C586" s="9" t="s">
        <v>1111</v>
      </c>
      <c r="D586" s="10">
        <v>44637</v>
      </c>
      <c r="E586" s="16">
        <v>1.75</v>
      </c>
      <c r="F586" s="11">
        <v>479</v>
      </c>
    </row>
    <row r="587" spans="1:6" x14ac:dyDescent="0.25">
      <c r="A587" s="9" t="s">
        <v>1123</v>
      </c>
      <c r="B587" s="9" t="s">
        <v>1110</v>
      </c>
      <c r="C587" s="9" t="s">
        <v>1134</v>
      </c>
      <c r="D587" s="10">
        <v>44741</v>
      </c>
      <c r="E587" s="16">
        <v>5.4390000000000001</v>
      </c>
      <c r="F587" s="11">
        <v>287</v>
      </c>
    </row>
    <row r="588" spans="1:6" x14ac:dyDescent="0.25">
      <c r="A588" s="9" t="s">
        <v>1150</v>
      </c>
      <c r="B588" s="9" t="s">
        <v>1124</v>
      </c>
      <c r="C588" s="9" t="s">
        <v>1147</v>
      </c>
      <c r="D588" s="10">
        <v>44797</v>
      </c>
      <c r="E588" s="16">
        <v>15.547000000000001</v>
      </c>
      <c r="F588" s="11">
        <v>269</v>
      </c>
    </row>
    <row r="589" spans="1:6" x14ac:dyDescent="0.25">
      <c r="A589" s="9" t="s">
        <v>1107</v>
      </c>
      <c r="B589" s="9" t="s">
        <v>1124</v>
      </c>
      <c r="C589" s="9" t="s">
        <v>1134</v>
      </c>
      <c r="D589" s="10">
        <v>44746</v>
      </c>
      <c r="E589" s="16">
        <v>11.956</v>
      </c>
      <c r="F589" s="11">
        <v>277</v>
      </c>
    </row>
    <row r="590" spans="1:6" x14ac:dyDescent="0.25">
      <c r="A590" s="9" t="s">
        <v>1131</v>
      </c>
      <c r="B590" s="9" t="s">
        <v>1116</v>
      </c>
      <c r="C590" s="9" t="s">
        <v>1142</v>
      </c>
      <c r="D590" s="10">
        <v>44648</v>
      </c>
      <c r="E590" s="16">
        <v>2.7229999999999999</v>
      </c>
      <c r="F590" s="11">
        <v>67</v>
      </c>
    </row>
    <row r="591" spans="1:6" x14ac:dyDescent="0.25">
      <c r="A591" s="9" t="s">
        <v>1133</v>
      </c>
      <c r="B591" s="9" t="s">
        <v>1105</v>
      </c>
      <c r="C591" s="9" t="s">
        <v>1111</v>
      </c>
      <c r="D591" s="10">
        <v>44670</v>
      </c>
      <c r="E591" s="16">
        <v>19.327000000000002</v>
      </c>
      <c r="F591" s="11">
        <v>135</v>
      </c>
    </row>
    <row r="592" spans="1:6" x14ac:dyDescent="0.25">
      <c r="A592" s="9" t="s">
        <v>1150</v>
      </c>
      <c r="B592" s="9" t="s">
        <v>1116</v>
      </c>
      <c r="C592" s="9" t="s">
        <v>1103</v>
      </c>
      <c r="D592" s="10">
        <v>44579</v>
      </c>
      <c r="E592" s="16">
        <v>9.0579999999999998</v>
      </c>
      <c r="F592" s="11">
        <v>229</v>
      </c>
    </row>
    <row r="593" spans="1:6" x14ac:dyDescent="0.25">
      <c r="A593" s="9" t="s">
        <v>1104</v>
      </c>
      <c r="B593" s="9" t="s">
        <v>1116</v>
      </c>
      <c r="C593" s="9" t="s">
        <v>1137</v>
      </c>
      <c r="D593" s="10">
        <v>44578</v>
      </c>
      <c r="E593" s="16">
        <v>2.996</v>
      </c>
      <c r="F593" s="11">
        <v>88</v>
      </c>
    </row>
    <row r="594" spans="1:6" x14ac:dyDescent="0.25">
      <c r="A594" s="9" t="s">
        <v>1143</v>
      </c>
      <c r="B594" s="9" t="s">
        <v>1116</v>
      </c>
      <c r="C594" s="9" t="s">
        <v>1103</v>
      </c>
      <c r="D594" s="10">
        <v>44607</v>
      </c>
      <c r="E594" s="16">
        <v>8.8480000000000008</v>
      </c>
      <c r="F594" s="11">
        <v>211</v>
      </c>
    </row>
    <row r="595" spans="1:6" x14ac:dyDescent="0.25">
      <c r="A595" s="9" t="s">
        <v>1143</v>
      </c>
      <c r="B595" s="9" t="s">
        <v>1102</v>
      </c>
      <c r="C595" s="9" t="s">
        <v>1132</v>
      </c>
      <c r="D595" s="10">
        <v>44603</v>
      </c>
      <c r="E595" s="16">
        <v>14.336</v>
      </c>
      <c r="F595" s="11">
        <v>293</v>
      </c>
    </row>
    <row r="596" spans="1:6" x14ac:dyDescent="0.25">
      <c r="A596" s="9" t="s">
        <v>1145</v>
      </c>
      <c r="B596" s="9" t="s">
        <v>1121</v>
      </c>
      <c r="C596" s="9" t="s">
        <v>1140</v>
      </c>
      <c r="D596" s="10">
        <v>44641</v>
      </c>
      <c r="E596" s="16">
        <v>16.401</v>
      </c>
      <c r="F596" s="11">
        <v>179</v>
      </c>
    </row>
    <row r="597" spans="1:6" x14ac:dyDescent="0.25">
      <c r="A597" s="9" t="s">
        <v>1114</v>
      </c>
      <c r="B597" s="9" t="s">
        <v>1116</v>
      </c>
      <c r="C597" s="9" t="s">
        <v>1142</v>
      </c>
      <c r="D597" s="10">
        <v>44566</v>
      </c>
      <c r="E597" s="16">
        <v>5.173</v>
      </c>
      <c r="F597" s="11">
        <v>129</v>
      </c>
    </row>
    <row r="598" spans="1:6" x14ac:dyDescent="0.25">
      <c r="A598" s="9" t="s">
        <v>1118</v>
      </c>
      <c r="B598" s="9" t="s">
        <v>1105</v>
      </c>
      <c r="C598" s="9" t="s">
        <v>1146</v>
      </c>
      <c r="D598" s="10">
        <v>44711</v>
      </c>
      <c r="E598" s="16">
        <v>6.3280000000000003</v>
      </c>
      <c r="F598" s="11">
        <v>164</v>
      </c>
    </row>
    <row r="599" spans="1:6" x14ac:dyDescent="0.25">
      <c r="A599" s="9" t="s">
        <v>1101</v>
      </c>
      <c r="B599" s="9" t="s">
        <v>1121</v>
      </c>
      <c r="C599" s="9" t="s">
        <v>1113</v>
      </c>
      <c r="D599" s="10">
        <v>44565</v>
      </c>
      <c r="E599" s="16">
        <v>2.5339999999999998</v>
      </c>
      <c r="F599" s="11">
        <v>219</v>
      </c>
    </row>
    <row r="600" spans="1:6" x14ac:dyDescent="0.25">
      <c r="A600" s="9" t="s">
        <v>1129</v>
      </c>
      <c r="B600" s="9" t="s">
        <v>1110</v>
      </c>
      <c r="C600" s="9" t="s">
        <v>1137</v>
      </c>
      <c r="D600" s="10">
        <v>44673</v>
      </c>
      <c r="E600" s="16">
        <v>1.4350000000000001</v>
      </c>
      <c r="F600" s="11">
        <v>258</v>
      </c>
    </row>
    <row r="601" spans="1:6" x14ac:dyDescent="0.25">
      <c r="A601" s="9" t="s">
        <v>1107</v>
      </c>
      <c r="B601" s="9" t="s">
        <v>1124</v>
      </c>
      <c r="C601" s="9" t="s">
        <v>1132</v>
      </c>
      <c r="D601" s="10">
        <v>44602</v>
      </c>
      <c r="E601" s="16">
        <v>3.052</v>
      </c>
      <c r="F601" s="11">
        <v>116</v>
      </c>
    </row>
    <row r="602" spans="1:6" x14ac:dyDescent="0.25">
      <c r="A602" s="9" t="s">
        <v>1149</v>
      </c>
      <c r="B602" s="9" t="s">
        <v>1105</v>
      </c>
      <c r="C602" s="9" t="s">
        <v>1134</v>
      </c>
      <c r="D602" s="10">
        <v>44785</v>
      </c>
      <c r="E602" s="16">
        <v>910</v>
      </c>
      <c r="F602" s="11">
        <v>204</v>
      </c>
    </row>
    <row r="603" spans="1:6" x14ac:dyDescent="0.25">
      <c r="A603" s="9" t="s">
        <v>1114</v>
      </c>
      <c r="B603" s="9" t="s">
        <v>1121</v>
      </c>
      <c r="C603" s="9" t="s">
        <v>1130</v>
      </c>
      <c r="D603" s="10">
        <v>44783</v>
      </c>
      <c r="E603" s="16">
        <v>2.331</v>
      </c>
      <c r="F603" s="11">
        <v>321</v>
      </c>
    </row>
    <row r="604" spans="1:6" x14ac:dyDescent="0.25">
      <c r="A604" s="9" t="s">
        <v>1144</v>
      </c>
      <c r="B604" s="9" t="s">
        <v>1110</v>
      </c>
      <c r="C604" s="9" t="s">
        <v>1146</v>
      </c>
      <c r="D604" s="10">
        <v>44719</v>
      </c>
      <c r="E604" s="16">
        <v>679</v>
      </c>
      <c r="F604" s="11">
        <v>56</v>
      </c>
    </row>
    <row r="605" spans="1:6" x14ac:dyDescent="0.25">
      <c r="A605" s="9" t="s">
        <v>1101</v>
      </c>
      <c r="B605" s="9" t="s">
        <v>1105</v>
      </c>
      <c r="C605" s="9" t="s">
        <v>1151</v>
      </c>
      <c r="D605" s="10">
        <v>44718</v>
      </c>
      <c r="E605" s="16">
        <v>2.0859999999999999</v>
      </c>
      <c r="F605" s="11">
        <v>74</v>
      </c>
    </row>
    <row r="606" spans="1:6" x14ac:dyDescent="0.25">
      <c r="A606" s="9" t="s">
        <v>1126</v>
      </c>
      <c r="B606" s="9" t="s">
        <v>1116</v>
      </c>
      <c r="C606" s="9" t="s">
        <v>1151</v>
      </c>
      <c r="D606" s="10">
        <v>44656</v>
      </c>
      <c r="E606" s="16">
        <v>5.0119999999999996</v>
      </c>
      <c r="F606" s="11">
        <v>189</v>
      </c>
    </row>
    <row r="607" spans="1:6" x14ac:dyDescent="0.25">
      <c r="A607" s="9" t="s">
        <v>1141</v>
      </c>
      <c r="B607" s="9" t="s">
        <v>1121</v>
      </c>
      <c r="C607" s="9" t="s">
        <v>1117</v>
      </c>
      <c r="D607" s="10">
        <v>44669</v>
      </c>
      <c r="E607" s="16">
        <v>4.5010000000000003</v>
      </c>
      <c r="F607" s="11">
        <v>131</v>
      </c>
    </row>
    <row r="608" spans="1:6" x14ac:dyDescent="0.25">
      <c r="A608" s="9" t="s">
        <v>1143</v>
      </c>
      <c r="B608" s="9" t="s">
        <v>1105</v>
      </c>
      <c r="C608" s="9" t="s">
        <v>1117</v>
      </c>
      <c r="D608" s="10">
        <v>44592</v>
      </c>
      <c r="E608" s="16">
        <v>13.481999999999999</v>
      </c>
      <c r="F608" s="11">
        <v>15</v>
      </c>
    </row>
    <row r="609" spans="1:6" x14ac:dyDescent="0.25">
      <c r="A609" s="9" t="s">
        <v>1148</v>
      </c>
      <c r="B609" s="9" t="s">
        <v>1121</v>
      </c>
      <c r="C609" s="9" t="s">
        <v>1151</v>
      </c>
      <c r="D609" s="10">
        <v>44795</v>
      </c>
      <c r="E609" s="16">
        <v>5.6210000000000004</v>
      </c>
      <c r="F609" s="11">
        <v>140</v>
      </c>
    </row>
    <row r="610" spans="1:6" x14ac:dyDescent="0.25">
      <c r="A610" s="9" t="s">
        <v>1101</v>
      </c>
      <c r="B610" s="9" t="s">
        <v>1110</v>
      </c>
      <c r="C610" s="9" t="s">
        <v>1113</v>
      </c>
      <c r="D610" s="10">
        <v>44617</v>
      </c>
      <c r="E610" s="16">
        <v>10.486000000000001</v>
      </c>
      <c r="F610" s="11">
        <v>198</v>
      </c>
    </row>
    <row r="611" spans="1:6" x14ac:dyDescent="0.25">
      <c r="A611" s="9" t="s">
        <v>1109</v>
      </c>
      <c r="B611" s="9" t="s">
        <v>1110</v>
      </c>
      <c r="C611" s="9" t="s">
        <v>1103</v>
      </c>
      <c r="D611" s="10">
        <v>44614</v>
      </c>
      <c r="E611" s="16">
        <v>17.626000000000001</v>
      </c>
      <c r="F611" s="11">
        <v>103</v>
      </c>
    </row>
    <row r="612" spans="1:6" x14ac:dyDescent="0.25">
      <c r="A612" s="9" t="s">
        <v>1112</v>
      </c>
      <c r="B612" s="9" t="s">
        <v>1116</v>
      </c>
      <c r="C612" s="9" t="s">
        <v>1132</v>
      </c>
      <c r="D612" s="10">
        <v>44573</v>
      </c>
      <c r="E612" s="16">
        <v>4.4939999999999998</v>
      </c>
      <c r="F612" s="11">
        <v>187</v>
      </c>
    </row>
    <row r="613" spans="1:6" x14ac:dyDescent="0.25">
      <c r="A613" s="9" t="s">
        <v>1118</v>
      </c>
      <c r="B613" s="9" t="s">
        <v>1102</v>
      </c>
      <c r="C613" s="9" t="s">
        <v>1142</v>
      </c>
      <c r="D613" s="10">
        <v>44706</v>
      </c>
      <c r="E613" s="16">
        <v>105</v>
      </c>
      <c r="F613" s="11">
        <v>125</v>
      </c>
    </row>
    <row r="614" spans="1:6" x14ac:dyDescent="0.25">
      <c r="A614" s="9" t="s">
        <v>1144</v>
      </c>
      <c r="B614" s="9" t="s">
        <v>1105</v>
      </c>
      <c r="C614" s="9" t="s">
        <v>1111</v>
      </c>
      <c r="D614" s="10">
        <v>44593</v>
      </c>
      <c r="E614" s="16">
        <v>2.464</v>
      </c>
      <c r="F614" s="11">
        <v>8</v>
      </c>
    </row>
    <row r="615" spans="1:6" x14ac:dyDescent="0.25">
      <c r="A615" s="9" t="s">
        <v>1119</v>
      </c>
      <c r="B615" s="9" t="s">
        <v>1102</v>
      </c>
      <c r="C615" s="9" t="s">
        <v>1125</v>
      </c>
      <c r="D615" s="10">
        <v>44678</v>
      </c>
      <c r="E615" s="16">
        <v>1.379</v>
      </c>
      <c r="F615" s="11">
        <v>70</v>
      </c>
    </row>
    <row r="616" spans="1:6" x14ac:dyDescent="0.25">
      <c r="A616" s="9" t="s">
        <v>1107</v>
      </c>
      <c r="B616" s="9" t="s">
        <v>1121</v>
      </c>
      <c r="C616" s="9" t="s">
        <v>1111</v>
      </c>
      <c r="D616" s="10">
        <v>44764</v>
      </c>
      <c r="E616" s="16">
        <v>2.5830000000000002</v>
      </c>
      <c r="F616" s="11">
        <v>126</v>
      </c>
    </row>
    <row r="617" spans="1:6" x14ac:dyDescent="0.25">
      <c r="A617" s="9" t="s">
        <v>1133</v>
      </c>
      <c r="B617" s="9" t="s">
        <v>1116</v>
      </c>
      <c r="C617" s="9" t="s">
        <v>1103</v>
      </c>
      <c r="D617" s="10">
        <v>44587</v>
      </c>
      <c r="E617" s="16">
        <v>3.22</v>
      </c>
      <c r="F617" s="11">
        <v>265</v>
      </c>
    </row>
    <row r="618" spans="1:6" x14ac:dyDescent="0.25">
      <c r="A618" s="9" t="s">
        <v>1133</v>
      </c>
      <c r="B618" s="9" t="s">
        <v>1121</v>
      </c>
      <c r="C618" s="9" t="s">
        <v>1103</v>
      </c>
      <c r="D618" s="10">
        <v>44797</v>
      </c>
      <c r="E618" s="16">
        <v>4.8019999999999996</v>
      </c>
      <c r="F618" s="11">
        <v>296</v>
      </c>
    </row>
    <row r="619" spans="1:6" x14ac:dyDescent="0.25">
      <c r="A619" s="9" t="s">
        <v>1148</v>
      </c>
      <c r="B619" s="9" t="s">
        <v>1116</v>
      </c>
      <c r="C619" s="9" t="s">
        <v>1137</v>
      </c>
      <c r="D619" s="10">
        <v>44579</v>
      </c>
      <c r="E619" s="16">
        <v>5.6769999999999996</v>
      </c>
      <c r="F619" s="11">
        <v>21</v>
      </c>
    </row>
    <row r="620" spans="1:6" x14ac:dyDescent="0.25">
      <c r="A620" s="9" t="s">
        <v>1126</v>
      </c>
      <c r="B620" s="9" t="s">
        <v>1105</v>
      </c>
      <c r="C620" s="9" t="s">
        <v>1106</v>
      </c>
      <c r="D620" s="10">
        <v>44650</v>
      </c>
      <c r="E620" s="16">
        <v>945</v>
      </c>
      <c r="F620" s="11">
        <v>83</v>
      </c>
    </row>
    <row r="621" spans="1:6" x14ac:dyDescent="0.25">
      <c r="A621" s="9" t="s">
        <v>1150</v>
      </c>
      <c r="B621" s="9" t="s">
        <v>1110</v>
      </c>
      <c r="C621" s="9" t="s">
        <v>1152</v>
      </c>
      <c r="D621" s="10">
        <v>44578</v>
      </c>
      <c r="E621" s="16">
        <v>8.7569999999999997</v>
      </c>
      <c r="F621" s="11">
        <v>162</v>
      </c>
    </row>
    <row r="622" spans="1:6" x14ac:dyDescent="0.25">
      <c r="A622" s="9" t="s">
        <v>1144</v>
      </c>
      <c r="B622" s="9" t="s">
        <v>1121</v>
      </c>
      <c r="C622" s="9" t="s">
        <v>1137</v>
      </c>
      <c r="D622" s="10">
        <v>44609</v>
      </c>
      <c r="E622" s="16">
        <v>4.8159999999999998</v>
      </c>
      <c r="F622" s="11">
        <v>145</v>
      </c>
    </row>
    <row r="623" spans="1:6" x14ac:dyDescent="0.25">
      <c r="A623" s="9" t="s">
        <v>1144</v>
      </c>
      <c r="B623" s="9" t="s">
        <v>1124</v>
      </c>
      <c r="C623" s="9" t="s">
        <v>1108</v>
      </c>
      <c r="D623" s="10">
        <v>44659</v>
      </c>
      <c r="E623" s="16">
        <v>7.532</v>
      </c>
      <c r="F623" s="11">
        <v>44</v>
      </c>
    </row>
    <row r="624" spans="1:6" x14ac:dyDescent="0.25">
      <c r="A624" s="9" t="s">
        <v>1107</v>
      </c>
      <c r="B624" s="9" t="s">
        <v>1124</v>
      </c>
      <c r="C624" s="9" t="s">
        <v>1127</v>
      </c>
      <c r="D624" s="10">
        <v>44748</v>
      </c>
      <c r="E624" s="16">
        <v>3.5489999999999999</v>
      </c>
      <c r="F624" s="11">
        <v>82</v>
      </c>
    </row>
    <row r="625" spans="1:6" x14ac:dyDescent="0.25">
      <c r="A625" s="9" t="s">
        <v>1135</v>
      </c>
      <c r="B625" s="9" t="s">
        <v>1105</v>
      </c>
      <c r="C625" s="9" t="s">
        <v>1137</v>
      </c>
      <c r="D625" s="10">
        <v>44655</v>
      </c>
      <c r="E625" s="16">
        <v>4.34</v>
      </c>
      <c r="F625" s="11">
        <v>226</v>
      </c>
    </row>
    <row r="626" spans="1:6" x14ac:dyDescent="0.25">
      <c r="A626" s="9" t="s">
        <v>1109</v>
      </c>
      <c r="B626" s="9" t="s">
        <v>1116</v>
      </c>
      <c r="C626" s="9" t="s">
        <v>1130</v>
      </c>
      <c r="D626" s="10">
        <v>44622</v>
      </c>
      <c r="E626" s="16">
        <v>1.7989999999999999</v>
      </c>
      <c r="F626" s="11">
        <v>207</v>
      </c>
    </row>
    <row r="627" spans="1:6" x14ac:dyDescent="0.25">
      <c r="A627" s="9" t="s">
        <v>1107</v>
      </c>
      <c r="B627" s="9" t="s">
        <v>1116</v>
      </c>
      <c r="C627" s="9" t="s">
        <v>1146</v>
      </c>
      <c r="D627" s="10">
        <v>44782</v>
      </c>
      <c r="E627" s="16">
        <v>1.127</v>
      </c>
      <c r="F627" s="11">
        <v>176</v>
      </c>
    </row>
    <row r="628" spans="1:6" x14ac:dyDescent="0.25">
      <c r="A628" s="9" t="s">
        <v>1138</v>
      </c>
      <c r="B628" s="9" t="s">
        <v>1110</v>
      </c>
      <c r="C628" s="9" t="s">
        <v>1132</v>
      </c>
      <c r="D628" s="10">
        <v>44721</v>
      </c>
      <c r="E628" s="16">
        <v>10.038</v>
      </c>
      <c r="F628" s="11">
        <v>286</v>
      </c>
    </row>
    <row r="629" spans="1:6" x14ac:dyDescent="0.25">
      <c r="A629" s="9" t="s">
        <v>1150</v>
      </c>
      <c r="B629" s="9" t="s">
        <v>1102</v>
      </c>
      <c r="C629" s="9" t="s">
        <v>1152</v>
      </c>
      <c r="D629" s="10">
        <v>44714</v>
      </c>
      <c r="E629" s="16">
        <v>2.9260000000000002</v>
      </c>
      <c r="F629" s="11">
        <v>300</v>
      </c>
    </row>
    <row r="630" spans="1:6" x14ac:dyDescent="0.25">
      <c r="A630" s="9" t="s">
        <v>1104</v>
      </c>
      <c r="B630" s="9" t="s">
        <v>1121</v>
      </c>
      <c r="C630" s="9" t="s">
        <v>1137</v>
      </c>
      <c r="D630" s="10">
        <v>44747</v>
      </c>
      <c r="E630" s="16">
        <v>6.2789999999999999</v>
      </c>
      <c r="F630" s="11">
        <v>235</v>
      </c>
    </row>
    <row r="631" spans="1:6" x14ac:dyDescent="0.25">
      <c r="A631" s="9" t="s">
        <v>1143</v>
      </c>
      <c r="B631" s="9" t="s">
        <v>1124</v>
      </c>
      <c r="C631" s="9" t="s">
        <v>1125</v>
      </c>
      <c r="D631" s="10">
        <v>44784</v>
      </c>
      <c r="E631" s="16">
        <v>308</v>
      </c>
      <c r="F631" s="11">
        <v>125</v>
      </c>
    </row>
    <row r="632" spans="1:6" x14ac:dyDescent="0.25">
      <c r="A632" s="9" t="s">
        <v>1148</v>
      </c>
      <c r="B632" s="9" t="s">
        <v>1105</v>
      </c>
      <c r="C632" s="9" t="s">
        <v>1147</v>
      </c>
      <c r="D632" s="10">
        <v>44603</v>
      </c>
      <c r="E632" s="16">
        <v>3.5</v>
      </c>
      <c r="F632" s="11">
        <v>145</v>
      </c>
    </row>
    <row r="633" spans="1:6" x14ac:dyDescent="0.25">
      <c r="A633" s="9" t="s">
        <v>1144</v>
      </c>
      <c r="B633" s="9" t="s">
        <v>1116</v>
      </c>
      <c r="C633" s="9" t="s">
        <v>1134</v>
      </c>
      <c r="D633" s="10">
        <v>44784</v>
      </c>
      <c r="E633" s="16">
        <v>658</v>
      </c>
      <c r="F633" s="11">
        <v>65</v>
      </c>
    </row>
    <row r="634" spans="1:6" x14ac:dyDescent="0.25">
      <c r="A634" s="9" t="s">
        <v>1131</v>
      </c>
      <c r="B634" s="9" t="s">
        <v>1110</v>
      </c>
      <c r="C634" s="9" t="s">
        <v>1127</v>
      </c>
      <c r="D634" s="10">
        <v>44693</v>
      </c>
      <c r="E634" s="16">
        <v>12.565</v>
      </c>
      <c r="F634" s="11">
        <v>102</v>
      </c>
    </row>
    <row r="635" spans="1:6" x14ac:dyDescent="0.25">
      <c r="A635" s="9" t="s">
        <v>1141</v>
      </c>
      <c r="B635" s="9" t="s">
        <v>1121</v>
      </c>
      <c r="C635" s="9" t="s">
        <v>1132</v>
      </c>
      <c r="D635" s="10">
        <v>44757</v>
      </c>
      <c r="E635" s="16">
        <v>5.0119999999999996</v>
      </c>
      <c r="F635" s="11">
        <v>93</v>
      </c>
    </row>
    <row r="636" spans="1:6" x14ac:dyDescent="0.25">
      <c r="A636" s="9" t="s">
        <v>1143</v>
      </c>
      <c r="B636" s="9" t="s">
        <v>1105</v>
      </c>
      <c r="C636" s="9" t="s">
        <v>1130</v>
      </c>
      <c r="D636" s="10">
        <v>44579</v>
      </c>
      <c r="E636" s="16">
        <v>3.9550000000000001</v>
      </c>
      <c r="F636" s="11">
        <v>134</v>
      </c>
    </row>
    <row r="637" spans="1:6" x14ac:dyDescent="0.25">
      <c r="A637" s="9" t="s">
        <v>1148</v>
      </c>
      <c r="B637" s="9" t="s">
        <v>1102</v>
      </c>
      <c r="C637" s="9" t="s">
        <v>1137</v>
      </c>
      <c r="D637" s="10">
        <v>44566</v>
      </c>
      <c r="E637" s="16">
        <v>8.5120000000000005</v>
      </c>
      <c r="F637" s="11">
        <v>189</v>
      </c>
    </row>
    <row r="638" spans="1:6" x14ac:dyDescent="0.25">
      <c r="A638" s="9" t="s">
        <v>1133</v>
      </c>
      <c r="B638" s="9" t="s">
        <v>1110</v>
      </c>
      <c r="C638" s="9" t="s">
        <v>1117</v>
      </c>
      <c r="D638" s="10">
        <v>44741</v>
      </c>
      <c r="E638" s="16">
        <v>504</v>
      </c>
      <c r="F638" s="11">
        <v>232</v>
      </c>
    </row>
    <row r="639" spans="1:6" x14ac:dyDescent="0.25">
      <c r="A639" s="9" t="s">
        <v>1118</v>
      </c>
      <c r="B639" s="9" t="s">
        <v>1124</v>
      </c>
      <c r="C639" s="9" t="s">
        <v>1146</v>
      </c>
      <c r="D639" s="10">
        <v>44726</v>
      </c>
      <c r="E639" s="16">
        <v>2.8</v>
      </c>
      <c r="F639" s="11">
        <v>45</v>
      </c>
    </row>
    <row r="640" spans="1:6" x14ac:dyDescent="0.25">
      <c r="A640" s="9" t="s">
        <v>1114</v>
      </c>
      <c r="B640" s="9" t="s">
        <v>1105</v>
      </c>
      <c r="C640" s="9" t="s">
        <v>1103</v>
      </c>
      <c r="D640" s="10">
        <v>44781</v>
      </c>
      <c r="E640" s="16">
        <v>4.2560000000000002</v>
      </c>
      <c r="F640" s="11">
        <v>67</v>
      </c>
    </row>
    <row r="641" spans="1:6" x14ac:dyDescent="0.25">
      <c r="A641" s="9" t="s">
        <v>1138</v>
      </c>
      <c r="B641" s="9" t="s">
        <v>1105</v>
      </c>
      <c r="C641" s="9" t="s">
        <v>1103</v>
      </c>
      <c r="D641" s="10">
        <v>44643</v>
      </c>
      <c r="E641" s="16">
        <v>13.573</v>
      </c>
      <c r="F641" s="11">
        <v>138</v>
      </c>
    </row>
    <row r="642" spans="1:6" x14ac:dyDescent="0.25">
      <c r="A642" s="9" t="s">
        <v>1120</v>
      </c>
      <c r="B642" s="9" t="s">
        <v>1105</v>
      </c>
      <c r="C642" s="9" t="s">
        <v>1152</v>
      </c>
      <c r="D642" s="10">
        <v>44565</v>
      </c>
      <c r="E642" s="16">
        <v>6.5659999999999998</v>
      </c>
      <c r="F642" s="11">
        <v>99</v>
      </c>
    </row>
    <row r="643" spans="1:6" x14ac:dyDescent="0.25">
      <c r="A643" s="9" t="s">
        <v>1118</v>
      </c>
      <c r="B643" s="9" t="s">
        <v>1105</v>
      </c>
      <c r="C643" s="9" t="s">
        <v>1132</v>
      </c>
      <c r="D643" s="10">
        <v>44614</v>
      </c>
      <c r="E643" s="16">
        <v>13.503</v>
      </c>
      <c r="F643" s="11">
        <v>251</v>
      </c>
    </row>
    <row r="644" spans="1:6" x14ac:dyDescent="0.25">
      <c r="A644" s="9" t="s">
        <v>1129</v>
      </c>
      <c r="B644" s="9" t="s">
        <v>1102</v>
      </c>
      <c r="C644" s="9" t="s">
        <v>1134</v>
      </c>
      <c r="D644" s="10">
        <v>44609</v>
      </c>
      <c r="E644" s="16">
        <v>8.68</v>
      </c>
      <c r="F644" s="11">
        <v>252</v>
      </c>
    </row>
    <row r="645" spans="1:6" x14ac:dyDescent="0.25">
      <c r="A645" s="9" t="s">
        <v>1120</v>
      </c>
      <c r="B645" s="9" t="s">
        <v>1121</v>
      </c>
      <c r="C645" s="9" t="s">
        <v>1142</v>
      </c>
      <c r="D645" s="10">
        <v>44595</v>
      </c>
      <c r="E645" s="16">
        <v>385</v>
      </c>
      <c r="F645" s="11">
        <v>78</v>
      </c>
    </row>
    <row r="646" spans="1:6" x14ac:dyDescent="0.25">
      <c r="A646" s="9" t="s">
        <v>1104</v>
      </c>
      <c r="B646" s="9" t="s">
        <v>1124</v>
      </c>
      <c r="C646" s="9" t="s">
        <v>1146</v>
      </c>
      <c r="D646" s="10">
        <v>44637</v>
      </c>
      <c r="E646" s="16">
        <v>1.2669999999999999</v>
      </c>
      <c r="F646" s="11">
        <v>130</v>
      </c>
    </row>
    <row r="647" spans="1:6" x14ac:dyDescent="0.25">
      <c r="A647" s="9" t="s">
        <v>1141</v>
      </c>
      <c r="B647" s="9" t="s">
        <v>1110</v>
      </c>
      <c r="C647" s="9" t="s">
        <v>1151</v>
      </c>
      <c r="D647" s="10">
        <v>44586</v>
      </c>
      <c r="E647" s="16">
        <v>2.9609999999999999</v>
      </c>
      <c r="F647" s="11">
        <v>154</v>
      </c>
    </row>
    <row r="648" spans="1:6" x14ac:dyDescent="0.25">
      <c r="A648" s="9" t="s">
        <v>1118</v>
      </c>
      <c r="B648" s="9" t="s">
        <v>1110</v>
      </c>
      <c r="C648" s="9" t="s">
        <v>1132</v>
      </c>
      <c r="D648" s="10">
        <v>44769</v>
      </c>
      <c r="E648" s="16">
        <v>1.9810000000000001</v>
      </c>
      <c r="F648" s="11">
        <v>52</v>
      </c>
    </row>
    <row r="649" spans="1:6" x14ac:dyDescent="0.25">
      <c r="A649" s="9" t="s">
        <v>1135</v>
      </c>
      <c r="B649" s="9" t="s">
        <v>1110</v>
      </c>
      <c r="C649" s="9" t="s">
        <v>1137</v>
      </c>
      <c r="D649" s="10">
        <v>44589</v>
      </c>
      <c r="E649" s="16">
        <v>7.9589999999999996</v>
      </c>
      <c r="F649" s="11">
        <v>53</v>
      </c>
    </row>
    <row r="650" spans="1:6" x14ac:dyDescent="0.25">
      <c r="A650" s="9" t="s">
        <v>1148</v>
      </c>
      <c r="B650" s="9" t="s">
        <v>1110</v>
      </c>
      <c r="C650" s="9" t="s">
        <v>1130</v>
      </c>
      <c r="D650" s="10">
        <v>44747</v>
      </c>
      <c r="E650" s="16">
        <v>10.794</v>
      </c>
      <c r="F650" s="11">
        <v>50</v>
      </c>
    </row>
    <row r="651" spans="1:6" x14ac:dyDescent="0.25">
      <c r="A651" s="9" t="s">
        <v>1104</v>
      </c>
      <c r="B651" s="9" t="s">
        <v>1105</v>
      </c>
      <c r="C651" s="9" t="s">
        <v>1139</v>
      </c>
      <c r="D651" s="10">
        <v>44635</v>
      </c>
      <c r="E651" s="16">
        <v>1.897</v>
      </c>
      <c r="F651" s="11">
        <v>44</v>
      </c>
    </row>
    <row r="652" spans="1:6" x14ac:dyDescent="0.25">
      <c r="A652" s="9" t="s">
        <v>1114</v>
      </c>
      <c r="B652" s="9" t="s">
        <v>1124</v>
      </c>
      <c r="C652" s="9" t="s">
        <v>1115</v>
      </c>
      <c r="D652" s="10">
        <v>44777</v>
      </c>
      <c r="E652" s="16">
        <v>2.7440000000000002</v>
      </c>
      <c r="F652" s="11">
        <v>200</v>
      </c>
    </row>
    <row r="653" spans="1:6" x14ac:dyDescent="0.25">
      <c r="A653" s="9" t="s">
        <v>1109</v>
      </c>
      <c r="B653" s="9" t="s">
        <v>1121</v>
      </c>
      <c r="C653" s="9" t="s">
        <v>1137</v>
      </c>
      <c r="D653" s="10">
        <v>44739</v>
      </c>
      <c r="E653" s="16">
        <v>4.3819999999999997</v>
      </c>
      <c r="F653" s="11">
        <v>361</v>
      </c>
    </row>
    <row r="654" spans="1:6" x14ac:dyDescent="0.25">
      <c r="A654" s="9" t="s">
        <v>1109</v>
      </c>
      <c r="B654" s="9" t="s">
        <v>1124</v>
      </c>
      <c r="C654" s="9" t="s">
        <v>1115</v>
      </c>
      <c r="D654" s="10">
        <v>44755</v>
      </c>
      <c r="E654" s="16">
        <v>4.5149999999999997</v>
      </c>
      <c r="F654" s="11">
        <v>172</v>
      </c>
    </row>
    <row r="655" spans="1:6" x14ac:dyDescent="0.25">
      <c r="A655" s="9" t="s">
        <v>1120</v>
      </c>
      <c r="B655" s="9" t="s">
        <v>1116</v>
      </c>
      <c r="C655" s="9" t="s">
        <v>1140</v>
      </c>
      <c r="D655" s="10">
        <v>44616</v>
      </c>
      <c r="E655" s="16">
        <v>5.4740000000000002</v>
      </c>
      <c r="F655" s="11">
        <v>239</v>
      </c>
    </row>
    <row r="656" spans="1:6" x14ac:dyDescent="0.25">
      <c r="A656" s="9" t="s">
        <v>1126</v>
      </c>
      <c r="B656" s="9" t="s">
        <v>1116</v>
      </c>
      <c r="C656" s="9" t="s">
        <v>1106</v>
      </c>
      <c r="D656" s="10">
        <v>44740</v>
      </c>
      <c r="E656" s="16">
        <v>6.069</v>
      </c>
      <c r="F656" s="11">
        <v>55</v>
      </c>
    </row>
    <row r="657" spans="1:6" x14ac:dyDescent="0.25">
      <c r="A657" s="9" t="s">
        <v>1112</v>
      </c>
      <c r="B657" s="9" t="s">
        <v>1110</v>
      </c>
      <c r="C657" s="9" t="s">
        <v>1106</v>
      </c>
      <c r="D657" s="10">
        <v>44742</v>
      </c>
      <c r="E657" s="16">
        <v>6.944</v>
      </c>
      <c r="F657" s="11">
        <v>27</v>
      </c>
    </row>
    <row r="658" spans="1:6" x14ac:dyDescent="0.25">
      <c r="A658" s="9" t="s">
        <v>1133</v>
      </c>
      <c r="B658" s="9" t="s">
        <v>1124</v>
      </c>
      <c r="C658" s="9" t="s">
        <v>1147</v>
      </c>
      <c r="D658" s="10">
        <v>44791</v>
      </c>
      <c r="E658" s="16">
        <v>5.859</v>
      </c>
      <c r="F658" s="11">
        <v>7</v>
      </c>
    </row>
    <row r="659" spans="1:6" x14ac:dyDescent="0.25">
      <c r="A659" s="9" t="s">
        <v>1136</v>
      </c>
      <c r="B659" s="9" t="s">
        <v>1105</v>
      </c>
      <c r="C659" s="9" t="s">
        <v>1153</v>
      </c>
      <c r="D659" s="10">
        <v>44585</v>
      </c>
      <c r="E659" s="16">
        <v>12.173</v>
      </c>
      <c r="F659" s="11">
        <v>301</v>
      </c>
    </row>
    <row r="660" spans="1:6" x14ac:dyDescent="0.25">
      <c r="A660" s="9" t="s">
        <v>1129</v>
      </c>
      <c r="B660" s="9" t="s">
        <v>1121</v>
      </c>
      <c r="C660" s="9" t="s">
        <v>1139</v>
      </c>
      <c r="D660" s="10">
        <v>44631</v>
      </c>
      <c r="E660" s="16">
        <v>5.2919999999999998</v>
      </c>
      <c r="F660" s="11">
        <v>134</v>
      </c>
    </row>
    <row r="661" spans="1:6" x14ac:dyDescent="0.25">
      <c r="A661" s="9" t="s">
        <v>1150</v>
      </c>
      <c r="B661" s="9" t="s">
        <v>1116</v>
      </c>
      <c r="C661" s="9" t="s">
        <v>1115</v>
      </c>
      <c r="D661" s="10">
        <v>44735</v>
      </c>
      <c r="E661" s="16">
        <v>5.7050000000000001</v>
      </c>
      <c r="F661" s="11">
        <v>350</v>
      </c>
    </row>
    <row r="662" spans="1:6" x14ac:dyDescent="0.25">
      <c r="A662" s="9" t="s">
        <v>1135</v>
      </c>
      <c r="B662" s="9" t="s">
        <v>1105</v>
      </c>
      <c r="C662" s="9" t="s">
        <v>1134</v>
      </c>
      <c r="D662" s="10">
        <v>44795</v>
      </c>
      <c r="E662" s="16">
        <v>2.492</v>
      </c>
      <c r="F662" s="11">
        <v>33</v>
      </c>
    </row>
    <row r="663" spans="1:6" x14ac:dyDescent="0.25">
      <c r="A663" s="9" t="s">
        <v>1114</v>
      </c>
      <c r="B663" s="9" t="s">
        <v>1124</v>
      </c>
      <c r="C663" s="9" t="s">
        <v>1117</v>
      </c>
      <c r="D663" s="10">
        <v>44565</v>
      </c>
      <c r="E663" s="16">
        <v>3.024</v>
      </c>
      <c r="F663" s="11">
        <v>23</v>
      </c>
    </row>
    <row r="664" spans="1:6" x14ac:dyDescent="0.25">
      <c r="A664" s="9" t="s">
        <v>1133</v>
      </c>
      <c r="B664" s="9" t="s">
        <v>1105</v>
      </c>
      <c r="C664" s="9" t="s">
        <v>1132</v>
      </c>
      <c r="D664" s="10">
        <v>44656</v>
      </c>
      <c r="E664" s="16">
        <v>3.4369999999999998</v>
      </c>
      <c r="F664" s="11">
        <v>201</v>
      </c>
    </row>
    <row r="665" spans="1:6" x14ac:dyDescent="0.25">
      <c r="A665" s="9" t="s">
        <v>1129</v>
      </c>
      <c r="B665" s="9" t="s">
        <v>1105</v>
      </c>
      <c r="C665" s="9" t="s">
        <v>1132</v>
      </c>
      <c r="D665" s="10">
        <v>44666</v>
      </c>
      <c r="E665" s="16">
        <v>1.869</v>
      </c>
      <c r="F665" s="11">
        <v>323</v>
      </c>
    </row>
    <row r="666" spans="1:6" x14ac:dyDescent="0.25">
      <c r="A666" s="9" t="s">
        <v>1135</v>
      </c>
      <c r="B666" s="9" t="s">
        <v>1110</v>
      </c>
      <c r="C666" s="9" t="s">
        <v>1139</v>
      </c>
      <c r="D666" s="10">
        <v>44692</v>
      </c>
      <c r="E666" s="16">
        <v>3.1709999999999998</v>
      </c>
      <c r="F666" s="11">
        <v>220</v>
      </c>
    </row>
    <row r="667" spans="1:6" x14ac:dyDescent="0.25">
      <c r="A667" s="9" t="s">
        <v>1143</v>
      </c>
      <c r="B667" s="9" t="s">
        <v>1124</v>
      </c>
      <c r="C667" s="9" t="s">
        <v>1140</v>
      </c>
      <c r="D667" s="10">
        <v>44763</v>
      </c>
      <c r="E667" s="16">
        <v>4.8579999999999997</v>
      </c>
      <c r="F667" s="11">
        <v>488</v>
      </c>
    </row>
    <row r="668" spans="1:6" x14ac:dyDescent="0.25">
      <c r="A668" s="9" t="s">
        <v>1109</v>
      </c>
      <c r="B668" s="9" t="s">
        <v>1116</v>
      </c>
      <c r="C668" s="9" t="s">
        <v>1122</v>
      </c>
      <c r="D668" s="10">
        <v>44603</v>
      </c>
      <c r="E668" s="16">
        <v>1.2250000000000001</v>
      </c>
      <c r="F668" s="11">
        <v>84</v>
      </c>
    </row>
    <row r="669" spans="1:6" x14ac:dyDescent="0.25">
      <c r="A669" s="9" t="s">
        <v>1143</v>
      </c>
      <c r="B669" s="9" t="s">
        <v>1124</v>
      </c>
      <c r="C669" s="9" t="s">
        <v>1111</v>
      </c>
      <c r="D669" s="10">
        <v>44750</v>
      </c>
      <c r="E669" s="16">
        <v>1.155</v>
      </c>
      <c r="F669" s="11">
        <v>79</v>
      </c>
    </row>
    <row r="670" spans="1:6" x14ac:dyDescent="0.25">
      <c r="A670" s="9" t="s">
        <v>1114</v>
      </c>
      <c r="B670" s="9" t="s">
        <v>1102</v>
      </c>
      <c r="C670" s="9" t="s">
        <v>1146</v>
      </c>
      <c r="D670" s="10">
        <v>44784</v>
      </c>
      <c r="E670" s="16">
        <v>6.8109999999999999</v>
      </c>
      <c r="F670" s="11">
        <v>344</v>
      </c>
    </row>
    <row r="671" spans="1:6" x14ac:dyDescent="0.25">
      <c r="A671" s="9" t="s">
        <v>1135</v>
      </c>
      <c r="B671" s="9" t="s">
        <v>1116</v>
      </c>
      <c r="C671" s="9" t="s">
        <v>1115</v>
      </c>
      <c r="D671" s="10">
        <v>44777</v>
      </c>
      <c r="E671" s="16">
        <v>6.4329999999999998</v>
      </c>
      <c r="F671" s="11">
        <v>7</v>
      </c>
    </row>
    <row r="672" spans="1:6" x14ac:dyDescent="0.25">
      <c r="A672" s="9" t="s">
        <v>1143</v>
      </c>
      <c r="B672" s="9" t="s">
        <v>1116</v>
      </c>
      <c r="C672" s="9" t="s">
        <v>1122</v>
      </c>
      <c r="D672" s="10">
        <v>44726</v>
      </c>
      <c r="E672" s="16">
        <v>8.1690000000000005</v>
      </c>
      <c r="F672" s="11">
        <v>88</v>
      </c>
    </row>
    <row r="673" spans="1:6" x14ac:dyDescent="0.25">
      <c r="A673" s="9" t="s">
        <v>1138</v>
      </c>
      <c r="B673" s="9" t="s">
        <v>1102</v>
      </c>
      <c r="C673" s="9" t="s">
        <v>1151</v>
      </c>
      <c r="D673" s="10">
        <v>44578</v>
      </c>
      <c r="E673" s="16">
        <v>2.2749999999999999</v>
      </c>
      <c r="F673" s="11">
        <v>275</v>
      </c>
    </row>
    <row r="674" spans="1:6" x14ac:dyDescent="0.25">
      <c r="A674" s="9" t="s">
        <v>1101</v>
      </c>
      <c r="B674" s="9" t="s">
        <v>1124</v>
      </c>
      <c r="C674" s="9" t="s">
        <v>1122</v>
      </c>
      <c r="D674" s="10">
        <v>44735</v>
      </c>
      <c r="E674" s="16">
        <v>3.8570000000000002</v>
      </c>
      <c r="F674" s="11">
        <v>512</v>
      </c>
    </row>
    <row r="675" spans="1:6" x14ac:dyDescent="0.25">
      <c r="A675" s="9" t="s">
        <v>1101</v>
      </c>
      <c r="B675" s="9" t="s">
        <v>1102</v>
      </c>
      <c r="C675" s="9" t="s">
        <v>1111</v>
      </c>
      <c r="D675" s="10">
        <v>44797</v>
      </c>
      <c r="E675" s="16">
        <v>1.4630000000000001</v>
      </c>
      <c r="F675" s="11">
        <v>113</v>
      </c>
    </row>
    <row r="676" spans="1:6" x14ac:dyDescent="0.25">
      <c r="A676" s="9" t="s">
        <v>1143</v>
      </c>
      <c r="B676" s="9" t="s">
        <v>1102</v>
      </c>
      <c r="C676" s="9" t="s">
        <v>1152</v>
      </c>
      <c r="D676" s="10">
        <v>44719</v>
      </c>
      <c r="E676" s="16">
        <v>7.9240000000000004</v>
      </c>
      <c r="F676" s="11">
        <v>275</v>
      </c>
    </row>
    <row r="677" spans="1:6" x14ac:dyDescent="0.25">
      <c r="A677" s="9" t="s">
        <v>1109</v>
      </c>
      <c r="B677" s="9" t="s">
        <v>1102</v>
      </c>
      <c r="C677" s="9" t="s">
        <v>1139</v>
      </c>
      <c r="D677" s="10">
        <v>44734</v>
      </c>
      <c r="E677" s="16">
        <v>8.7989999999999995</v>
      </c>
      <c r="F677" s="11">
        <v>47</v>
      </c>
    </row>
    <row r="678" spans="1:6" x14ac:dyDescent="0.25">
      <c r="A678" s="9" t="s">
        <v>1149</v>
      </c>
      <c r="B678" s="9" t="s">
        <v>1121</v>
      </c>
      <c r="C678" s="9" t="s">
        <v>1137</v>
      </c>
      <c r="D678" s="10">
        <v>44755</v>
      </c>
      <c r="E678" s="16">
        <v>2.8980000000000001</v>
      </c>
      <c r="F678" s="11">
        <v>276</v>
      </c>
    </row>
    <row r="679" spans="1:6" x14ac:dyDescent="0.25">
      <c r="A679" s="9" t="s">
        <v>1144</v>
      </c>
      <c r="B679" s="9" t="s">
        <v>1102</v>
      </c>
      <c r="C679" s="9" t="s">
        <v>1147</v>
      </c>
      <c r="D679" s="10">
        <v>44705</v>
      </c>
      <c r="E679" s="16">
        <v>9.5060000000000002</v>
      </c>
      <c r="F679" s="11">
        <v>212</v>
      </c>
    </row>
    <row r="680" spans="1:6" x14ac:dyDescent="0.25">
      <c r="A680" s="9" t="s">
        <v>1114</v>
      </c>
      <c r="B680" s="9" t="s">
        <v>1116</v>
      </c>
      <c r="C680" s="9" t="s">
        <v>1115</v>
      </c>
      <c r="D680" s="10">
        <v>44782</v>
      </c>
      <c r="E680" s="16">
        <v>7.1749999999999998</v>
      </c>
      <c r="F680" s="11">
        <v>145</v>
      </c>
    </row>
    <row r="681" spans="1:6" x14ac:dyDescent="0.25">
      <c r="A681" s="9" t="s">
        <v>1136</v>
      </c>
      <c r="B681" s="9" t="s">
        <v>1124</v>
      </c>
      <c r="C681" s="9" t="s">
        <v>1106</v>
      </c>
      <c r="D681" s="10">
        <v>44657</v>
      </c>
      <c r="E681" s="16">
        <v>1.7290000000000001</v>
      </c>
      <c r="F681" s="11">
        <v>31</v>
      </c>
    </row>
    <row r="682" spans="1:6" x14ac:dyDescent="0.25">
      <c r="A682" s="9" t="s">
        <v>1109</v>
      </c>
      <c r="B682" s="9" t="s">
        <v>1116</v>
      </c>
      <c r="C682" s="9" t="s">
        <v>1140</v>
      </c>
      <c r="D682" s="10">
        <v>44770</v>
      </c>
      <c r="E682" s="16">
        <v>1.589</v>
      </c>
      <c r="F682" s="11">
        <v>271</v>
      </c>
    </row>
    <row r="683" spans="1:6" x14ac:dyDescent="0.25">
      <c r="A683" s="9" t="s">
        <v>1114</v>
      </c>
      <c r="B683" s="9" t="s">
        <v>1116</v>
      </c>
      <c r="C683" s="9" t="s">
        <v>1146</v>
      </c>
      <c r="D683" s="10">
        <v>44797</v>
      </c>
      <c r="E683" s="16">
        <v>630</v>
      </c>
      <c r="F683" s="11">
        <v>52</v>
      </c>
    </row>
    <row r="684" spans="1:6" x14ac:dyDescent="0.25">
      <c r="A684" s="9" t="s">
        <v>1104</v>
      </c>
      <c r="B684" s="9" t="s">
        <v>1110</v>
      </c>
      <c r="C684" s="9" t="s">
        <v>1113</v>
      </c>
      <c r="D684" s="10">
        <v>44578</v>
      </c>
      <c r="E684" s="16">
        <v>112</v>
      </c>
      <c r="F684" s="11">
        <v>128</v>
      </c>
    </row>
    <row r="685" spans="1:6" x14ac:dyDescent="0.25">
      <c r="A685" s="9" t="s">
        <v>1133</v>
      </c>
      <c r="B685" s="9" t="s">
        <v>1121</v>
      </c>
      <c r="C685" s="9" t="s">
        <v>1127</v>
      </c>
      <c r="D685" s="10">
        <v>44599</v>
      </c>
      <c r="E685" s="16">
        <v>5.1870000000000003</v>
      </c>
      <c r="F685" s="11">
        <v>142</v>
      </c>
    </row>
    <row r="686" spans="1:6" x14ac:dyDescent="0.25">
      <c r="A686" s="9" t="s">
        <v>1118</v>
      </c>
      <c r="B686" s="9" t="s">
        <v>1110</v>
      </c>
      <c r="C686" s="9" t="s">
        <v>1134</v>
      </c>
      <c r="D686" s="10">
        <v>44690</v>
      </c>
      <c r="E686" s="16">
        <v>6.2229999999999999</v>
      </c>
      <c r="F686" s="11">
        <v>256</v>
      </c>
    </row>
    <row r="687" spans="1:6" x14ac:dyDescent="0.25">
      <c r="A687" s="9" t="s">
        <v>1123</v>
      </c>
      <c r="B687" s="9" t="s">
        <v>1116</v>
      </c>
      <c r="C687" s="9" t="s">
        <v>1106</v>
      </c>
      <c r="D687" s="10">
        <v>44718</v>
      </c>
      <c r="E687" s="16">
        <v>7.7140000000000004</v>
      </c>
      <c r="F687" s="11">
        <v>106</v>
      </c>
    </row>
    <row r="688" spans="1:6" x14ac:dyDescent="0.25">
      <c r="A688" s="9" t="s">
        <v>1141</v>
      </c>
      <c r="B688" s="9" t="s">
        <v>1121</v>
      </c>
      <c r="C688" s="9" t="s">
        <v>1147</v>
      </c>
      <c r="D688" s="10">
        <v>44718</v>
      </c>
      <c r="E688" s="16">
        <v>9.4570000000000007</v>
      </c>
      <c r="F688" s="11">
        <v>6</v>
      </c>
    </row>
    <row r="689" spans="1:6" x14ac:dyDescent="0.25">
      <c r="A689" s="9" t="s">
        <v>1129</v>
      </c>
      <c r="B689" s="9" t="s">
        <v>1116</v>
      </c>
      <c r="C689" s="9" t="s">
        <v>1130</v>
      </c>
      <c r="D689" s="10">
        <v>44705</v>
      </c>
      <c r="E689" s="16">
        <v>6.6779999999999999</v>
      </c>
      <c r="F689" s="11">
        <v>226</v>
      </c>
    </row>
    <row r="690" spans="1:6" x14ac:dyDescent="0.25">
      <c r="A690" s="9" t="s">
        <v>1114</v>
      </c>
      <c r="B690" s="9" t="s">
        <v>1102</v>
      </c>
      <c r="C690" s="9" t="s">
        <v>1117</v>
      </c>
      <c r="D690" s="10">
        <v>44574</v>
      </c>
      <c r="E690" s="16">
        <v>2.1070000000000002</v>
      </c>
      <c r="F690" s="11">
        <v>121</v>
      </c>
    </row>
    <row r="691" spans="1:6" x14ac:dyDescent="0.25">
      <c r="A691" s="9" t="s">
        <v>1128</v>
      </c>
      <c r="B691" s="9" t="s">
        <v>1121</v>
      </c>
      <c r="C691" s="9" t="s">
        <v>1146</v>
      </c>
      <c r="D691" s="10">
        <v>44704</v>
      </c>
      <c r="E691" s="16">
        <v>6.069</v>
      </c>
      <c r="F691" s="11">
        <v>151</v>
      </c>
    </row>
    <row r="692" spans="1:6" x14ac:dyDescent="0.25">
      <c r="A692" s="9" t="s">
        <v>1101</v>
      </c>
      <c r="B692" s="9" t="s">
        <v>1102</v>
      </c>
      <c r="C692" s="9" t="s">
        <v>1139</v>
      </c>
      <c r="D692" s="10">
        <v>44741</v>
      </c>
      <c r="E692" s="16">
        <v>1.8620000000000001</v>
      </c>
      <c r="F692" s="11">
        <v>284</v>
      </c>
    </row>
    <row r="693" spans="1:6" x14ac:dyDescent="0.25">
      <c r="A693" s="9" t="s">
        <v>1101</v>
      </c>
      <c r="B693" s="9" t="s">
        <v>1116</v>
      </c>
      <c r="C693" s="9" t="s">
        <v>1106</v>
      </c>
      <c r="D693" s="10">
        <v>44631</v>
      </c>
      <c r="E693" s="16">
        <v>6.9720000000000004</v>
      </c>
      <c r="F693" s="11">
        <v>89</v>
      </c>
    </row>
    <row r="694" spans="1:6" x14ac:dyDescent="0.25">
      <c r="A694" s="9" t="s">
        <v>1149</v>
      </c>
      <c r="B694" s="9" t="s">
        <v>1121</v>
      </c>
      <c r="C694" s="9" t="s">
        <v>1106</v>
      </c>
      <c r="D694" s="10">
        <v>44676</v>
      </c>
      <c r="E694" s="16">
        <v>10.220000000000001</v>
      </c>
      <c r="F694" s="11">
        <v>508</v>
      </c>
    </row>
    <row r="695" spans="1:6" x14ac:dyDescent="0.25">
      <c r="A695" s="9" t="s">
        <v>1119</v>
      </c>
      <c r="B695" s="9" t="s">
        <v>1110</v>
      </c>
      <c r="C695" s="9" t="s">
        <v>1111</v>
      </c>
      <c r="D695" s="10">
        <v>44711</v>
      </c>
      <c r="E695" s="16">
        <v>3.9689999999999999</v>
      </c>
      <c r="F695" s="11">
        <v>243</v>
      </c>
    </row>
    <row r="696" spans="1:6" x14ac:dyDescent="0.25">
      <c r="A696" s="9" t="s">
        <v>1133</v>
      </c>
      <c r="B696" s="9" t="s">
        <v>1105</v>
      </c>
      <c r="C696" s="9" t="s">
        <v>1140</v>
      </c>
      <c r="D696" s="10">
        <v>44704</v>
      </c>
      <c r="E696" s="16">
        <v>1.5469999999999999</v>
      </c>
      <c r="F696" s="11">
        <v>170</v>
      </c>
    </row>
    <row r="697" spans="1:6" x14ac:dyDescent="0.25">
      <c r="A697" s="9" t="s">
        <v>1123</v>
      </c>
      <c r="B697" s="9" t="s">
        <v>1121</v>
      </c>
      <c r="C697" s="9" t="s">
        <v>1108</v>
      </c>
      <c r="D697" s="10">
        <v>44704</v>
      </c>
      <c r="E697" s="16">
        <v>1.1619999999999999</v>
      </c>
      <c r="F697" s="11">
        <v>18</v>
      </c>
    </row>
    <row r="698" spans="1:6" x14ac:dyDescent="0.25">
      <c r="A698" s="9" t="s">
        <v>1104</v>
      </c>
      <c r="B698" s="9" t="s">
        <v>1124</v>
      </c>
      <c r="C698" s="9" t="s">
        <v>1108</v>
      </c>
      <c r="D698" s="10">
        <v>44736</v>
      </c>
      <c r="E698" s="16">
        <v>6.3419999999999996</v>
      </c>
      <c r="F698" s="11">
        <v>282</v>
      </c>
    </row>
    <row r="699" spans="1:6" x14ac:dyDescent="0.25">
      <c r="A699" s="9" t="s">
        <v>1144</v>
      </c>
      <c r="B699" s="9" t="s">
        <v>1116</v>
      </c>
      <c r="C699" s="9" t="s">
        <v>1111</v>
      </c>
      <c r="D699" s="10">
        <v>44631</v>
      </c>
      <c r="E699" s="16">
        <v>10.632999999999999</v>
      </c>
      <c r="F699" s="11">
        <v>277</v>
      </c>
    </row>
    <row r="700" spans="1:6" x14ac:dyDescent="0.25">
      <c r="A700" s="9" t="s">
        <v>1119</v>
      </c>
      <c r="B700" s="9" t="s">
        <v>1121</v>
      </c>
      <c r="C700" s="9" t="s">
        <v>1111</v>
      </c>
      <c r="D700" s="10">
        <v>44769</v>
      </c>
      <c r="E700" s="16">
        <v>15.057</v>
      </c>
      <c r="F700" s="11">
        <v>212</v>
      </c>
    </row>
    <row r="701" spans="1:6" x14ac:dyDescent="0.25">
      <c r="A701" s="9" t="s">
        <v>1119</v>
      </c>
      <c r="B701" s="9" t="s">
        <v>1121</v>
      </c>
      <c r="C701" s="9" t="s">
        <v>1139</v>
      </c>
      <c r="D701" s="10">
        <v>44789</v>
      </c>
      <c r="E701" s="16">
        <v>4.7039999999999997</v>
      </c>
      <c r="F701" s="11">
        <v>126</v>
      </c>
    </row>
    <row r="702" spans="1:6" x14ac:dyDescent="0.25">
      <c r="A702" s="9" t="s">
        <v>1131</v>
      </c>
      <c r="B702" s="9" t="s">
        <v>1124</v>
      </c>
      <c r="C702" s="9" t="s">
        <v>1111</v>
      </c>
      <c r="D702" s="10">
        <v>44627</v>
      </c>
      <c r="E702" s="16">
        <v>9.3379999999999992</v>
      </c>
      <c r="F702" s="11">
        <v>11</v>
      </c>
    </row>
    <row r="703" spans="1:6" x14ac:dyDescent="0.25">
      <c r="A703" s="9" t="s">
        <v>1133</v>
      </c>
      <c r="B703" s="9" t="s">
        <v>1116</v>
      </c>
      <c r="C703" s="9" t="s">
        <v>1115</v>
      </c>
      <c r="D703" s="10">
        <v>44656</v>
      </c>
      <c r="E703" s="16">
        <v>7.9589999999999996</v>
      </c>
      <c r="F703" s="11">
        <v>30</v>
      </c>
    </row>
    <row r="704" spans="1:6" x14ac:dyDescent="0.25">
      <c r="A704" s="9" t="s">
        <v>1145</v>
      </c>
      <c r="B704" s="9" t="s">
        <v>1105</v>
      </c>
      <c r="C704" s="9" t="s">
        <v>1106</v>
      </c>
      <c r="D704" s="10">
        <v>44685</v>
      </c>
      <c r="E704" s="16">
        <v>9.0229999999999997</v>
      </c>
      <c r="F704" s="11">
        <v>51</v>
      </c>
    </row>
    <row r="705" spans="1:6" x14ac:dyDescent="0.25">
      <c r="A705" s="9" t="s">
        <v>1150</v>
      </c>
      <c r="B705" s="9" t="s">
        <v>1121</v>
      </c>
      <c r="C705" s="9" t="s">
        <v>1147</v>
      </c>
      <c r="D705" s="10">
        <v>44565</v>
      </c>
      <c r="E705" s="16">
        <v>14.525</v>
      </c>
      <c r="F705" s="11">
        <v>92</v>
      </c>
    </row>
    <row r="706" spans="1:6" x14ac:dyDescent="0.25">
      <c r="A706" s="9" t="s">
        <v>1128</v>
      </c>
      <c r="B706" s="9" t="s">
        <v>1110</v>
      </c>
      <c r="C706" s="9" t="s">
        <v>1151</v>
      </c>
      <c r="D706" s="10">
        <v>44574</v>
      </c>
      <c r="E706" s="16">
        <v>5.81</v>
      </c>
      <c r="F706" s="11">
        <v>101</v>
      </c>
    </row>
    <row r="707" spans="1:6" x14ac:dyDescent="0.25">
      <c r="A707" s="9" t="s">
        <v>1141</v>
      </c>
      <c r="B707" s="9" t="s">
        <v>1116</v>
      </c>
      <c r="C707" s="9" t="s">
        <v>1137</v>
      </c>
      <c r="D707" s="10">
        <v>44753</v>
      </c>
      <c r="E707" s="16">
        <v>6.4260000000000002</v>
      </c>
      <c r="F707" s="11">
        <v>98</v>
      </c>
    </row>
    <row r="708" spans="1:6" x14ac:dyDescent="0.25">
      <c r="A708" s="9" t="s">
        <v>1136</v>
      </c>
      <c r="B708" s="9" t="s">
        <v>1110</v>
      </c>
      <c r="C708" s="9" t="s">
        <v>1103</v>
      </c>
      <c r="D708" s="10">
        <v>44698</v>
      </c>
      <c r="E708" s="16">
        <v>4.4029999999999996</v>
      </c>
      <c r="F708" s="11">
        <v>159</v>
      </c>
    </row>
    <row r="709" spans="1:6" x14ac:dyDescent="0.25">
      <c r="A709" s="9" t="s">
        <v>1145</v>
      </c>
      <c r="B709" s="9" t="s">
        <v>1116</v>
      </c>
      <c r="C709" s="9" t="s">
        <v>1108</v>
      </c>
      <c r="D709" s="10">
        <v>44763</v>
      </c>
      <c r="E709" s="16">
        <v>1.5820000000000001</v>
      </c>
      <c r="F709" s="11">
        <v>62</v>
      </c>
    </row>
    <row r="710" spans="1:6" x14ac:dyDescent="0.25">
      <c r="A710" s="9" t="s">
        <v>1133</v>
      </c>
      <c r="B710" s="9" t="s">
        <v>1124</v>
      </c>
      <c r="C710" s="9" t="s">
        <v>1130</v>
      </c>
      <c r="D710" s="10">
        <v>44614</v>
      </c>
      <c r="E710" s="16">
        <v>791</v>
      </c>
      <c r="F710" s="11">
        <v>22</v>
      </c>
    </row>
    <row r="711" spans="1:6" x14ac:dyDescent="0.25">
      <c r="A711" s="9" t="s">
        <v>1109</v>
      </c>
      <c r="B711" s="9" t="s">
        <v>1105</v>
      </c>
      <c r="C711" s="9" t="s">
        <v>1113</v>
      </c>
      <c r="D711" s="10">
        <v>44704</v>
      </c>
      <c r="E711" s="16">
        <v>9.1</v>
      </c>
      <c r="F711" s="11">
        <v>187</v>
      </c>
    </row>
    <row r="712" spans="1:6" x14ac:dyDescent="0.25">
      <c r="A712" s="9" t="s">
        <v>1119</v>
      </c>
      <c r="B712" s="9" t="s">
        <v>1124</v>
      </c>
      <c r="C712" s="9" t="s">
        <v>1127</v>
      </c>
      <c r="D712" s="10">
        <v>44754</v>
      </c>
      <c r="E712" s="16">
        <v>9.8840000000000003</v>
      </c>
      <c r="F712" s="11">
        <v>200</v>
      </c>
    </row>
    <row r="713" spans="1:6" x14ac:dyDescent="0.25">
      <c r="A713" s="9" t="s">
        <v>1109</v>
      </c>
      <c r="B713" s="9" t="s">
        <v>1102</v>
      </c>
      <c r="C713" s="9" t="s">
        <v>1122</v>
      </c>
      <c r="D713" s="10">
        <v>44727</v>
      </c>
      <c r="E713" s="16">
        <v>3.78</v>
      </c>
      <c r="F713" s="11">
        <v>201</v>
      </c>
    </row>
    <row r="714" spans="1:6" x14ac:dyDescent="0.25">
      <c r="A714" s="9" t="s">
        <v>1120</v>
      </c>
      <c r="B714" s="9" t="s">
        <v>1116</v>
      </c>
      <c r="C714" s="9" t="s">
        <v>1117</v>
      </c>
      <c r="D714" s="10">
        <v>44735</v>
      </c>
      <c r="E714" s="16">
        <v>4.5570000000000004</v>
      </c>
      <c r="F714" s="11">
        <v>308</v>
      </c>
    </row>
    <row r="715" spans="1:6" x14ac:dyDescent="0.25">
      <c r="A715" s="9" t="s">
        <v>1133</v>
      </c>
      <c r="B715" s="9" t="s">
        <v>1110</v>
      </c>
      <c r="C715" s="9" t="s">
        <v>1125</v>
      </c>
      <c r="D715" s="10">
        <v>44645</v>
      </c>
      <c r="E715" s="16">
        <v>5.7960000000000003</v>
      </c>
      <c r="F715" s="11">
        <v>55</v>
      </c>
    </row>
    <row r="716" spans="1:6" x14ac:dyDescent="0.25">
      <c r="A716" s="9" t="s">
        <v>1109</v>
      </c>
      <c r="B716" s="9" t="s">
        <v>1105</v>
      </c>
      <c r="C716" s="9" t="s">
        <v>1152</v>
      </c>
      <c r="D716" s="10">
        <v>44746</v>
      </c>
      <c r="E716" s="16">
        <v>84</v>
      </c>
      <c r="F716" s="11">
        <v>153</v>
      </c>
    </row>
    <row r="717" spans="1:6" x14ac:dyDescent="0.25">
      <c r="A717" s="9" t="s">
        <v>1143</v>
      </c>
      <c r="B717" s="9" t="s">
        <v>1102</v>
      </c>
      <c r="C717" s="9" t="s">
        <v>1139</v>
      </c>
      <c r="D717" s="10">
        <v>44693</v>
      </c>
      <c r="E717" s="16">
        <v>9.0370000000000008</v>
      </c>
      <c r="F717" s="11">
        <v>101</v>
      </c>
    </row>
    <row r="718" spans="1:6" x14ac:dyDescent="0.25">
      <c r="A718" s="9" t="s">
        <v>1145</v>
      </c>
      <c r="B718" s="9" t="s">
        <v>1116</v>
      </c>
      <c r="C718" s="9" t="s">
        <v>1146</v>
      </c>
      <c r="D718" s="10">
        <v>44655</v>
      </c>
      <c r="E718" s="16">
        <v>4.7460000000000004</v>
      </c>
      <c r="F718" s="11">
        <v>137</v>
      </c>
    </row>
    <row r="719" spans="1:6" x14ac:dyDescent="0.25">
      <c r="A719" s="9" t="s">
        <v>1148</v>
      </c>
      <c r="B719" s="9" t="s">
        <v>1110</v>
      </c>
      <c r="C719" s="9" t="s">
        <v>1122</v>
      </c>
      <c r="D719" s="10">
        <v>44666</v>
      </c>
      <c r="E719" s="16">
        <v>6.7130000000000001</v>
      </c>
      <c r="F719" s="11">
        <v>398</v>
      </c>
    </row>
    <row r="720" spans="1:6" x14ac:dyDescent="0.25">
      <c r="A720" s="9" t="s">
        <v>1131</v>
      </c>
      <c r="B720" s="9" t="s">
        <v>1124</v>
      </c>
      <c r="C720" s="9" t="s">
        <v>1125</v>
      </c>
      <c r="D720" s="10">
        <v>44628</v>
      </c>
      <c r="E720" s="16">
        <v>6.2370000000000001</v>
      </c>
      <c r="F720" s="11">
        <v>88</v>
      </c>
    </row>
    <row r="721" spans="1:6" x14ac:dyDescent="0.25">
      <c r="A721" s="9" t="s">
        <v>1126</v>
      </c>
      <c r="B721" s="9" t="s">
        <v>1105</v>
      </c>
      <c r="C721" s="9" t="s">
        <v>1139</v>
      </c>
      <c r="D721" s="10">
        <v>44578</v>
      </c>
      <c r="E721" s="16">
        <v>7.4829999999999997</v>
      </c>
      <c r="F721" s="11">
        <v>232</v>
      </c>
    </row>
    <row r="722" spans="1:6" x14ac:dyDescent="0.25">
      <c r="A722" s="9" t="s">
        <v>1141</v>
      </c>
      <c r="B722" s="9" t="s">
        <v>1105</v>
      </c>
      <c r="C722" s="9" t="s">
        <v>1103</v>
      </c>
      <c r="D722" s="10">
        <v>44795</v>
      </c>
      <c r="E722" s="16">
        <v>1.3089999999999999</v>
      </c>
      <c r="F722" s="11">
        <v>51</v>
      </c>
    </row>
    <row r="723" spans="1:6" x14ac:dyDescent="0.25">
      <c r="A723" s="9" t="s">
        <v>1143</v>
      </c>
      <c r="B723" s="9" t="s">
        <v>1102</v>
      </c>
      <c r="C723" s="9" t="s">
        <v>1113</v>
      </c>
      <c r="D723" s="10">
        <v>44767</v>
      </c>
      <c r="E723" s="16">
        <v>1.155</v>
      </c>
      <c r="F723" s="11">
        <v>66</v>
      </c>
    </row>
    <row r="724" spans="1:6" x14ac:dyDescent="0.25">
      <c r="A724" s="9" t="s">
        <v>1128</v>
      </c>
      <c r="B724" s="9" t="s">
        <v>1102</v>
      </c>
      <c r="C724" s="9" t="s">
        <v>1117</v>
      </c>
      <c r="D724" s="10">
        <v>44726</v>
      </c>
      <c r="E724" s="16">
        <v>2.9889999999999999</v>
      </c>
      <c r="F724" s="11">
        <v>124</v>
      </c>
    </row>
    <row r="725" spans="1:6" x14ac:dyDescent="0.25">
      <c r="A725" s="9" t="s">
        <v>1150</v>
      </c>
      <c r="B725" s="9" t="s">
        <v>1105</v>
      </c>
      <c r="C725" s="9" t="s">
        <v>1147</v>
      </c>
      <c r="D725" s="10">
        <v>44656</v>
      </c>
      <c r="E725" s="16">
        <v>9.625</v>
      </c>
      <c r="F725" s="11">
        <v>78</v>
      </c>
    </row>
    <row r="726" spans="1:6" x14ac:dyDescent="0.25">
      <c r="A726" s="9" t="s">
        <v>1148</v>
      </c>
      <c r="B726" s="9" t="s">
        <v>1102</v>
      </c>
      <c r="C726" s="9" t="s">
        <v>1146</v>
      </c>
      <c r="D726" s="10">
        <v>44799</v>
      </c>
      <c r="E726" s="16">
        <v>7.3570000000000002</v>
      </c>
      <c r="F726" s="11">
        <v>341</v>
      </c>
    </row>
    <row r="727" spans="1:6" x14ac:dyDescent="0.25">
      <c r="A727" s="9" t="s">
        <v>1141</v>
      </c>
      <c r="B727" s="9" t="s">
        <v>1110</v>
      </c>
      <c r="C727" s="9" t="s">
        <v>1117</v>
      </c>
      <c r="D727" s="10">
        <v>44776</v>
      </c>
      <c r="E727" s="16">
        <v>10.031000000000001</v>
      </c>
      <c r="F727" s="11">
        <v>114</v>
      </c>
    </row>
    <row r="728" spans="1:6" x14ac:dyDescent="0.25">
      <c r="A728" s="9" t="s">
        <v>1107</v>
      </c>
      <c r="B728" s="9" t="s">
        <v>1124</v>
      </c>
      <c r="C728" s="9" t="s">
        <v>1139</v>
      </c>
      <c r="D728" s="10">
        <v>44753</v>
      </c>
      <c r="E728" s="16">
        <v>6.5869999999999997</v>
      </c>
      <c r="F728" s="11">
        <v>4</v>
      </c>
    </row>
    <row r="729" spans="1:6" x14ac:dyDescent="0.25">
      <c r="A729" s="9" t="s">
        <v>1141</v>
      </c>
      <c r="B729" s="9" t="s">
        <v>1116</v>
      </c>
      <c r="C729" s="9" t="s">
        <v>1125</v>
      </c>
      <c r="D729" s="10">
        <v>44631</v>
      </c>
      <c r="E729" s="16">
        <v>3.3109999999999999</v>
      </c>
      <c r="F729" s="11">
        <v>22</v>
      </c>
    </row>
    <row r="730" spans="1:6" x14ac:dyDescent="0.25">
      <c r="A730" s="9" t="s">
        <v>1118</v>
      </c>
      <c r="B730" s="9" t="s">
        <v>1102</v>
      </c>
      <c r="C730" s="9" t="s">
        <v>1108</v>
      </c>
      <c r="D730" s="10">
        <v>44571</v>
      </c>
      <c r="E730" s="16">
        <v>15.33</v>
      </c>
      <c r="F730" s="11">
        <v>30</v>
      </c>
    </row>
    <row r="731" spans="1:6" x14ac:dyDescent="0.25">
      <c r="A731" s="9" t="s">
        <v>1131</v>
      </c>
      <c r="B731" s="9" t="s">
        <v>1102</v>
      </c>
      <c r="C731" s="9" t="s">
        <v>1151</v>
      </c>
      <c r="D731" s="10">
        <v>44655</v>
      </c>
      <c r="E731" s="16">
        <v>14.028</v>
      </c>
      <c r="F731" s="11">
        <v>351</v>
      </c>
    </row>
    <row r="732" spans="1:6" x14ac:dyDescent="0.25">
      <c r="A732" s="9" t="s">
        <v>1126</v>
      </c>
      <c r="B732" s="9" t="s">
        <v>1110</v>
      </c>
      <c r="C732" s="9" t="s">
        <v>1117</v>
      </c>
      <c r="D732" s="10">
        <v>44578</v>
      </c>
      <c r="E732" s="16">
        <v>6.6779999999999999</v>
      </c>
      <c r="F732" s="11">
        <v>708</v>
      </c>
    </row>
    <row r="733" spans="1:6" x14ac:dyDescent="0.25">
      <c r="A733" s="9" t="s">
        <v>1128</v>
      </c>
      <c r="B733" s="9" t="s">
        <v>1116</v>
      </c>
      <c r="C733" s="9" t="s">
        <v>1130</v>
      </c>
      <c r="D733" s="10">
        <v>44750</v>
      </c>
      <c r="E733" s="16">
        <v>8.6240000000000006</v>
      </c>
      <c r="F733" s="11">
        <v>50</v>
      </c>
    </row>
    <row r="734" spans="1:6" x14ac:dyDescent="0.25">
      <c r="A734" s="9" t="s">
        <v>1109</v>
      </c>
      <c r="B734" s="9" t="s">
        <v>1102</v>
      </c>
      <c r="C734" s="9" t="s">
        <v>1130</v>
      </c>
      <c r="D734" s="10">
        <v>44663</v>
      </c>
      <c r="E734" s="16">
        <v>1.1970000000000001</v>
      </c>
      <c r="F734" s="11">
        <v>356</v>
      </c>
    </row>
    <row r="735" spans="1:6" x14ac:dyDescent="0.25">
      <c r="A735" s="9" t="s">
        <v>1119</v>
      </c>
      <c r="B735" s="9" t="s">
        <v>1124</v>
      </c>
      <c r="C735" s="9" t="s">
        <v>1137</v>
      </c>
      <c r="D735" s="10">
        <v>44797</v>
      </c>
      <c r="E735" s="16">
        <v>483</v>
      </c>
      <c r="F735" s="11">
        <v>185</v>
      </c>
    </row>
    <row r="736" spans="1:6" x14ac:dyDescent="0.25">
      <c r="A736" s="9" t="s">
        <v>1150</v>
      </c>
      <c r="B736" s="9" t="s">
        <v>1102</v>
      </c>
      <c r="C736" s="9" t="s">
        <v>1147</v>
      </c>
      <c r="D736" s="10">
        <v>44719</v>
      </c>
      <c r="E736" s="16">
        <v>1.6870000000000001</v>
      </c>
      <c r="F736" s="11">
        <v>236</v>
      </c>
    </row>
    <row r="737" spans="1:6" x14ac:dyDescent="0.25">
      <c r="A737" s="9" t="s">
        <v>1114</v>
      </c>
      <c r="B737" s="9" t="s">
        <v>1124</v>
      </c>
      <c r="C737" s="9" t="s">
        <v>1142</v>
      </c>
      <c r="D737" s="10">
        <v>44770</v>
      </c>
      <c r="E737" s="16">
        <v>1.3089999999999999</v>
      </c>
      <c r="F737" s="11">
        <v>30</v>
      </c>
    </row>
    <row r="738" spans="1:6" x14ac:dyDescent="0.25">
      <c r="A738" s="9" t="s">
        <v>1135</v>
      </c>
      <c r="B738" s="9" t="s">
        <v>1121</v>
      </c>
      <c r="C738" s="9" t="s">
        <v>1113</v>
      </c>
      <c r="D738" s="10">
        <v>44613</v>
      </c>
      <c r="E738" s="16">
        <v>9.5340000000000007</v>
      </c>
      <c r="F738" s="11">
        <v>111</v>
      </c>
    </row>
    <row r="739" spans="1:6" x14ac:dyDescent="0.25">
      <c r="A739" s="9" t="s">
        <v>1138</v>
      </c>
      <c r="B739" s="9" t="s">
        <v>1124</v>
      </c>
      <c r="C739" s="9" t="s">
        <v>1103</v>
      </c>
      <c r="D739" s="10">
        <v>44659</v>
      </c>
      <c r="E739" s="16">
        <v>1.694</v>
      </c>
      <c r="F739" s="11">
        <v>289</v>
      </c>
    </row>
    <row r="740" spans="1:6" x14ac:dyDescent="0.25">
      <c r="A740" s="9" t="s">
        <v>1118</v>
      </c>
      <c r="B740" s="9" t="s">
        <v>1102</v>
      </c>
      <c r="C740" s="9" t="s">
        <v>1140</v>
      </c>
      <c r="D740" s="10">
        <v>44740</v>
      </c>
      <c r="E740" s="16">
        <v>70</v>
      </c>
      <c r="F740" s="11">
        <v>103</v>
      </c>
    </row>
    <row r="741" spans="1:6" x14ac:dyDescent="0.25">
      <c r="A741" s="9" t="s">
        <v>1104</v>
      </c>
      <c r="B741" s="9" t="s">
        <v>1102</v>
      </c>
      <c r="C741" s="9" t="s">
        <v>1151</v>
      </c>
      <c r="D741" s="10">
        <v>44644</v>
      </c>
      <c r="E741" s="16">
        <v>2.4430000000000001</v>
      </c>
      <c r="F741" s="11">
        <v>20</v>
      </c>
    </row>
    <row r="742" spans="1:6" x14ac:dyDescent="0.25">
      <c r="A742" s="9" t="s">
        <v>1120</v>
      </c>
      <c r="B742" s="9" t="s">
        <v>1110</v>
      </c>
      <c r="C742" s="9" t="s">
        <v>1152</v>
      </c>
      <c r="D742" s="10">
        <v>44771</v>
      </c>
      <c r="E742" s="16">
        <v>2.9329999999999998</v>
      </c>
      <c r="F742" s="11">
        <v>55</v>
      </c>
    </row>
    <row r="743" spans="1:6" x14ac:dyDescent="0.25">
      <c r="A743" s="9" t="s">
        <v>1138</v>
      </c>
      <c r="B743" s="9" t="s">
        <v>1121</v>
      </c>
      <c r="C743" s="9" t="s">
        <v>1125</v>
      </c>
      <c r="D743" s="10">
        <v>44706</v>
      </c>
      <c r="E743" s="16">
        <v>2.044</v>
      </c>
      <c r="F743" s="11">
        <v>90</v>
      </c>
    </row>
    <row r="744" spans="1:6" x14ac:dyDescent="0.25">
      <c r="A744" s="9" t="s">
        <v>1107</v>
      </c>
      <c r="B744" s="9" t="s">
        <v>1110</v>
      </c>
      <c r="C744" s="9" t="s">
        <v>1146</v>
      </c>
      <c r="D744" s="10">
        <v>44650</v>
      </c>
      <c r="E744" s="16">
        <v>6.524</v>
      </c>
      <c r="F744" s="11">
        <v>303</v>
      </c>
    </row>
    <row r="745" spans="1:6" x14ac:dyDescent="0.25">
      <c r="A745" s="9" t="s">
        <v>1138</v>
      </c>
      <c r="B745" s="9" t="s">
        <v>1121</v>
      </c>
      <c r="C745" s="9" t="s">
        <v>1130</v>
      </c>
      <c r="D745" s="10">
        <v>44760</v>
      </c>
      <c r="E745" s="16">
        <v>12.656000000000001</v>
      </c>
      <c r="F745" s="11">
        <v>126</v>
      </c>
    </row>
    <row r="746" spans="1:6" x14ac:dyDescent="0.25">
      <c r="A746" s="9" t="s">
        <v>1129</v>
      </c>
      <c r="B746" s="9" t="s">
        <v>1124</v>
      </c>
      <c r="C746" s="9" t="s">
        <v>1122</v>
      </c>
      <c r="D746" s="10">
        <v>44691</v>
      </c>
      <c r="E746" s="16">
        <v>8.7219999999999995</v>
      </c>
      <c r="F746" s="11">
        <v>109</v>
      </c>
    </row>
    <row r="747" spans="1:6" x14ac:dyDescent="0.25">
      <c r="A747" s="9" t="s">
        <v>1123</v>
      </c>
      <c r="B747" s="9" t="s">
        <v>1110</v>
      </c>
      <c r="C747" s="9" t="s">
        <v>1147</v>
      </c>
      <c r="D747" s="10">
        <v>44638</v>
      </c>
      <c r="E747" s="16">
        <v>15.75</v>
      </c>
      <c r="F747" s="11">
        <v>92</v>
      </c>
    </row>
    <row r="748" spans="1:6" x14ac:dyDescent="0.25">
      <c r="A748" s="9" t="s">
        <v>1150</v>
      </c>
      <c r="B748" s="9" t="s">
        <v>1105</v>
      </c>
      <c r="C748" s="9" t="s">
        <v>1152</v>
      </c>
      <c r="D748" s="10">
        <v>44727</v>
      </c>
      <c r="E748" s="16">
        <v>6.8390000000000004</v>
      </c>
      <c r="F748" s="11">
        <v>56</v>
      </c>
    </row>
    <row r="749" spans="1:6" x14ac:dyDescent="0.25">
      <c r="A749" s="9" t="s">
        <v>1104</v>
      </c>
      <c r="B749" s="9" t="s">
        <v>1124</v>
      </c>
      <c r="C749" s="9" t="s">
        <v>1117</v>
      </c>
      <c r="D749" s="10">
        <v>44693</v>
      </c>
      <c r="E749" s="16">
        <v>13.685</v>
      </c>
      <c r="F749" s="11">
        <v>58</v>
      </c>
    </row>
    <row r="750" spans="1:6" x14ac:dyDescent="0.25">
      <c r="A750" s="9" t="s">
        <v>1144</v>
      </c>
      <c r="B750" s="9" t="s">
        <v>1116</v>
      </c>
      <c r="C750" s="9" t="s">
        <v>1151</v>
      </c>
      <c r="D750" s="10">
        <v>44735</v>
      </c>
      <c r="E750" s="16">
        <v>2.9119999999999999</v>
      </c>
      <c r="F750" s="11">
        <v>110</v>
      </c>
    </row>
    <row r="751" spans="1:6" x14ac:dyDescent="0.25">
      <c r="A751" s="9" t="s">
        <v>1129</v>
      </c>
      <c r="B751" s="9" t="s">
        <v>1105</v>
      </c>
      <c r="C751" s="9" t="s">
        <v>1134</v>
      </c>
      <c r="D751" s="10">
        <v>44672</v>
      </c>
      <c r="E751" s="16">
        <v>3.339</v>
      </c>
      <c r="F751" s="11">
        <v>171</v>
      </c>
    </row>
    <row r="752" spans="1:6" x14ac:dyDescent="0.25">
      <c r="A752" s="9" t="s">
        <v>1107</v>
      </c>
      <c r="B752" s="9" t="s">
        <v>1110</v>
      </c>
      <c r="C752" s="9" t="s">
        <v>1142</v>
      </c>
      <c r="D752" s="10">
        <v>44790</v>
      </c>
      <c r="E752" s="16">
        <v>910</v>
      </c>
      <c r="F752" s="11">
        <v>117</v>
      </c>
    </row>
    <row r="753" spans="1:6" x14ac:dyDescent="0.25">
      <c r="A753" s="9" t="s">
        <v>1119</v>
      </c>
      <c r="B753" s="9" t="s">
        <v>1116</v>
      </c>
      <c r="C753" s="9" t="s">
        <v>1125</v>
      </c>
      <c r="D753" s="10">
        <v>44599</v>
      </c>
      <c r="E753" s="16">
        <v>19.481000000000002</v>
      </c>
      <c r="F753" s="11">
        <v>51</v>
      </c>
    </row>
    <row r="754" spans="1:6" x14ac:dyDescent="0.25">
      <c r="A754" s="9" t="s">
        <v>1144</v>
      </c>
      <c r="B754" s="9" t="s">
        <v>1124</v>
      </c>
      <c r="C754" s="9" t="s">
        <v>1111</v>
      </c>
      <c r="D754" s="10">
        <v>44637</v>
      </c>
      <c r="E754" s="16">
        <v>8.0990000000000002</v>
      </c>
      <c r="F754" s="11">
        <v>118</v>
      </c>
    </row>
    <row r="755" spans="1:6" x14ac:dyDescent="0.25">
      <c r="A755" s="9" t="s">
        <v>1109</v>
      </c>
      <c r="B755" s="9" t="s">
        <v>1105</v>
      </c>
      <c r="C755" s="9" t="s">
        <v>1151</v>
      </c>
      <c r="D755" s="10">
        <v>44774</v>
      </c>
      <c r="E755" s="16">
        <v>13.727</v>
      </c>
      <c r="F755" s="11">
        <v>79</v>
      </c>
    </row>
    <row r="756" spans="1:6" x14ac:dyDescent="0.25">
      <c r="A756" s="9" t="s">
        <v>1101</v>
      </c>
      <c r="B756" s="9" t="s">
        <v>1110</v>
      </c>
      <c r="C756" s="9" t="s">
        <v>1132</v>
      </c>
      <c r="D756" s="10">
        <v>44638</v>
      </c>
      <c r="E756" s="16">
        <v>8.6590000000000007</v>
      </c>
      <c r="F756" s="11">
        <v>29</v>
      </c>
    </row>
    <row r="757" spans="1:6" x14ac:dyDescent="0.25">
      <c r="A757" s="9" t="s">
        <v>1107</v>
      </c>
      <c r="B757" s="9" t="s">
        <v>1124</v>
      </c>
      <c r="C757" s="9" t="s">
        <v>1137</v>
      </c>
      <c r="D757" s="10">
        <v>44726</v>
      </c>
      <c r="E757" s="16">
        <v>5.782</v>
      </c>
      <c r="F757" s="11">
        <v>103</v>
      </c>
    </row>
    <row r="758" spans="1:6" x14ac:dyDescent="0.25">
      <c r="A758" s="9" t="s">
        <v>1129</v>
      </c>
      <c r="B758" s="9" t="s">
        <v>1102</v>
      </c>
      <c r="C758" s="9" t="s">
        <v>1125</v>
      </c>
      <c r="D758" s="10">
        <v>44673</v>
      </c>
      <c r="E758" s="16">
        <v>8.4629999999999992</v>
      </c>
      <c r="F758" s="11">
        <v>155</v>
      </c>
    </row>
    <row r="759" spans="1:6" x14ac:dyDescent="0.25">
      <c r="A759" s="9" t="s">
        <v>1128</v>
      </c>
      <c r="B759" s="9" t="s">
        <v>1116</v>
      </c>
      <c r="C759" s="9" t="s">
        <v>1125</v>
      </c>
      <c r="D759" s="10">
        <v>44579</v>
      </c>
      <c r="E759" s="16">
        <v>4.9139999999999997</v>
      </c>
      <c r="F759" s="11">
        <v>31</v>
      </c>
    </row>
    <row r="760" spans="1:6" x14ac:dyDescent="0.25">
      <c r="A760" s="9" t="s">
        <v>1135</v>
      </c>
      <c r="B760" s="9" t="s">
        <v>1110</v>
      </c>
      <c r="C760" s="9" t="s">
        <v>1113</v>
      </c>
      <c r="D760" s="10">
        <v>44799</v>
      </c>
      <c r="E760" s="16">
        <v>3.0870000000000002</v>
      </c>
      <c r="F760" s="11">
        <v>128</v>
      </c>
    </row>
    <row r="761" spans="1:6" x14ac:dyDescent="0.25">
      <c r="A761" s="9" t="s">
        <v>1114</v>
      </c>
      <c r="B761" s="9" t="s">
        <v>1116</v>
      </c>
      <c r="C761" s="9" t="s">
        <v>1137</v>
      </c>
      <c r="D761" s="10">
        <v>44722</v>
      </c>
      <c r="E761" s="16">
        <v>9.2050000000000001</v>
      </c>
      <c r="F761" s="11">
        <v>419</v>
      </c>
    </row>
    <row r="762" spans="1:6" x14ac:dyDescent="0.25">
      <c r="A762" s="9" t="s">
        <v>1133</v>
      </c>
      <c r="B762" s="9" t="s">
        <v>1124</v>
      </c>
      <c r="C762" s="9" t="s">
        <v>1153</v>
      </c>
      <c r="D762" s="10">
        <v>44592</v>
      </c>
      <c r="E762" s="16">
        <v>2.3029999999999999</v>
      </c>
      <c r="F762" s="11">
        <v>7</v>
      </c>
    </row>
    <row r="763" spans="1:6" x14ac:dyDescent="0.25">
      <c r="A763" s="9" t="s">
        <v>1144</v>
      </c>
      <c r="B763" s="9" t="s">
        <v>1116</v>
      </c>
      <c r="C763" s="9" t="s">
        <v>1140</v>
      </c>
      <c r="D763" s="10">
        <v>44659</v>
      </c>
      <c r="E763" s="16">
        <v>1.3580000000000001</v>
      </c>
      <c r="F763" s="11">
        <v>106</v>
      </c>
    </row>
    <row r="764" spans="1:6" x14ac:dyDescent="0.25">
      <c r="A764" s="9" t="s">
        <v>1149</v>
      </c>
      <c r="B764" s="9" t="s">
        <v>1110</v>
      </c>
      <c r="C764" s="9" t="s">
        <v>1151</v>
      </c>
      <c r="D764" s="10">
        <v>44719</v>
      </c>
      <c r="E764" s="16">
        <v>3.605</v>
      </c>
      <c r="F764" s="11">
        <v>68</v>
      </c>
    </row>
    <row r="765" spans="1:6" x14ac:dyDescent="0.25">
      <c r="A765" s="9" t="s">
        <v>1120</v>
      </c>
      <c r="B765" s="9" t="s">
        <v>1110</v>
      </c>
      <c r="C765" s="9" t="s">
        <v>1106</v>
      </c>
      <c r="D765" s="10">
        <v>44602</v>
      </c>
      <c r="E765" s="16">
        <v>8.4979999999999993</v>
      </c>
      <c r="F765" s="11">
        <v>44</v>
      </c>
    </row>
    <row r="766" spans="1:6" x14ac:dyDescent="0.25">
      <c r="A766" s="9" t="s">
        <v>1129</v>
      </c>
      <c r="B766" s="9" t="s">
        <v>1110</v>
      </c>
      <c r="C766" s="9" t="s">
        <v>1117</v>
      </c>
      <c r="D766" s="10">
        <v>44697</v>
      </c>
      <c r="E766" s="16">
        <v>700</v>
      </c>
      <c r="F766" s="11">
        <v>457</v>
      </c>
    </row>
    <row r="767" spans="1:6" x14ac:dyDescent="0.25">
      <c r="A767" s="9" t="s">
        <v>1114</v>
      </c>
      <c r="B767" s="9" t="s">
        <v>1105</v>
      </c>
      <c r="C767" s="9" t="s">
        <v>1151</v>
      </c>
      <c r="D767" s="10">
        <v>44638</v>
      </c>
      <c r="E767" s="16">
        <v>2.1909999999999998</v>
      </c>
      <c r="F767" s="11">
        <v>524</v>
      </c>
    </row>
    <row r="768" spans="1:6" x14ac:dyDescent="0.25">
      <c r="A768" s="9" t="s">
        <v>1104</v>
      </c>
      <c r="B768" s="9" t="s">
        <v>1110</v>
      </c>
      <c r="C768" s="9" t="s">
        <v>1117</v>
      </c>
      <c r="D768" s="10">
        <v>44755</v>
      </c>
      <c r="E768" s="16">
        <v>644</v>
      </c>
      <c r="F768" s="11">
        <v>137</v>
      </c>
    </row>
    <row r="769" spans="1:6" x14ac:dyDescent="0.25">
      <c r="A769" s="9" t="s">
        <v>1112</v>
      </c>
      <c r="B769" s="9" t="s">
        <v>1121</v>
      </c>
      <c r="C769" s="9" t="s">
        <v>1140</v>
      </c>
      <c r="D769" s="10">
        <v>44767</v>
      </c>
      <c r="E769" s="16">
        <v>4.34</v>
      </c>
      <c r="F769" s="11">
        <v>86</v>
      </c>
    </row>
    <row r="770" spans="1:6" x14ac:dyDescent="0.25">
      <c r="A770" s="9" t="s">
        <v>1104</v>
      </c>
      <c r="B770" s="9" t="s">
        <v>1124</v>
      </c>
      <c r="C770" s="9" t="s">
        <v>1147</v>
      </c>
      <c r="D770" s="10">
        <v>44792</v>
      </c>
      <c r="E770" s="16">
        <v>2.282</v>
      </c>
      <c r="F770" s="11">
        <v>296</v>
      </c>
    </row>
    <row r="771" spans="1:6" x14ac:dyDescent="0.25">
      <c r="A771" s="9" t="s">
        <v>1126</v>
      </c>
      <c r="B771" s="9" t="s">
        <v>1124</v>
      </c>
      <c r="C771" s="9" t="s">
        <v>1153</v>
      </c>
      <c r="D771" s="10">
        <v>44736</v>
      </c>
      <c r="E771" s="16">
        <v>7.7140000000000004</v>
      </c>
      <c r="F771" s="11">
        <v>597</v>
      </c>
    </row>
    <row r="772" spans="1:6" x14ac:dyDescent="0.25">
      <c r="A772" s="9" t="s">
        <v>1144</v>
      </c>
      <c r="B772" s="9" t="s">
        <v>1124</v>
      </c>
      <c r="C772" s="9" t="s">
        <v>1137</v>
      </c>
      <c r="D772" s="10">
        <v>44732</v>
      </c>
      <c r="E772" s="16">
        <v>826</v>
      </c>
      <c r="F772" s="11">
        <v>149</v>
      </c>
    </row>
    <row r="773" spans="1:6" x14ac:dyDescent="0.25">
      <c r="A773" s="9" t="s">
        <v>1145</v>
      </c>
      <c r="B773" s="9" t="s">
        <v>1105</v>
      </c>
      <c r="C773" s="9" t="s">
        <v>1113</v>
      </c>
      <c r="D773" s="10">
        <v>44775</v>
      </c>
      <c r="E773" s="16">
        <v>203</v>
      </c>
      <c r="F773" s="11">
        <v>207</v>
      </c>
    </row>
    <row r="774" spans="1:6" x14ac:dyDescent="0.25">
      <c r="A774" s="9" t="s">
        <v>1148</v>
      </c>
      <c r="B774" s="9" t="s">
        <v>1116</v>
      </c>
      <c r="C774" s="9" t="s">
        <v>1153</v>
      </c>
      <c r="D774" s="10">
        <v>44614</v>
      </c>
      <c r="E774" s="16">
        <v>13.356</v>
      </c>
      <c r="F774" s="11">
        <v>93</v>
      </c>
    </row>
    <row r="775" spans="1:6" x14ac:dyDescent="0.25">
      <c r="A775" s="9" t="s">
        <v>1123</v>
      </c>
      <c r="B775" s="9" t="s">
        <v>1116</v>
      </c>
      <c r="C775" s="9" t="s">
        <v>1122</v>
      </c>
      <c r="D775" s="10">
        <v>44593</v>
      </c>
      <c r="E775" s="16">
        <v>6.51</v>
      </c>
      <c r="F775" s="11">
        <v>23</v>
      </c>
    </row>
    <row r="776" spans="1:6" x14ac:dyDescent="0.25">
      <c r="A776" s="9" t="s">
        <v>1109</v>
      </c>
      <c r="B776" s="9" t="s">
        <v>1124</v>
      </c>
      <c r="C776" s="9" t="s">
        <v>1153</v>
      </c>
      <c r="D776" s="10">
        <v>44606</v>
      </c>
      <c r="E776" s="16">
        <v>5.8940000000000001</v>
      </c>
      <c r="F776" s="11">
        <v>305</v>
      </c>
    </row>
    <row r="777" spans="1:6" x14ac:dyDescent="0.25">
      <c r="A777" s="9" t="s">
        <v>1144</v>
      </c>
      <c r="B777" s="9" t="s">
        <v>1110</v>
      </c>
      <c r="C777" s="9" t="s">
        <v>1132</v>
      </c>
      <c r="D777" s="10">
        <v>44616</v>
      </c>
      <c r="E777" s="16">
        <v>7.91</v>
      </c>
      <c r="F777" s="11">
        <v>125</v>
      </c>
    </row>
    <row r="778" spans="1:6" x14ac:dyDescent="0.25">
      <c r="A778" s="9" t="s">
        <v>1138</v>
      </c>
      <c r="B778" s="9" t="s">
        <v>1105</v>
      </c>
      <c r="C778" s="9" t="s">
        <v>1122</v>
      </c>
      <c r="D778" s="10">
        <v>44638</v>
      </c>
      <c r="E778" s="16">
        <v>784</v>
      </c>
      <c r="F778" s="11">
        <v>129</v>
      </c>
    </row>
    <row r="779" spans="1:6" x14ac:dyDescent="0.25">
      <c r="A779" s="9" t="s">
        <v>1135</v>
      </c>
      <c r="B779" s="9" t="s">
        <v>1102</v>
      </c>
      <c r="C779" s="9" t="s">
        <v>1125</v>
      </c>
      <c r="D779" s="10">
        <v>44803</v>
      </c>
      <c r="E779" s="16">
        <v>1.75</v>
      </c>
      <c r="F779" s="11">
        <v>252</v>
      </c>
    </row>
    <row r="780" spans="1:6" x14ac:dyDescent="0.25">
      <c r="A780" s="9" t="s">
        <v>1107</v>
      </c>
      <c r="B780" s="9" t="s">
        <v>1121</v>
      </c>
      <c r="C780" s="9" t="s">
        <v>1108</v>
      </c>
      <c r="D780" s="10">
        <v>44690</v>
      </c>
      <c r="E780" s="16">
        <v>280</v>
      </c>
      <c r="F780" s="11">
        <v>75</v>
      </c>
    </row>
    <row r="781" spans="1:6" x14ac:dyDescent="0.25">
      <c r="A781" s="9" t="s">
        <v>1141</v>
      </c>
      <c r="B781" s="9" t="s">
        <v>1121</v>
      </c>
      <c r="C781" s="9" t="s">
        <v>1111</v>
      </c>
      <c r="D781" s="10">
        <v>44579</v>
      </c>
      <c r="E781" s="16">
        <v>504</v>
      </c>
      <c r="F781" s="11">
        <v>87</v>
      </c>
    </row>
    <row r="782" spans="1:6" x14ac:dyDescent="0.25">
      <c r="A782" s="9" t="s">
        <v>1133</v>
      </c>
      <c r="B782" s="9" t="s">
        <v>1105</v>
      </c>
      <c r="C782" s="9" t="s">
        <v>1139</v>
      </c>
      <c r="D782" s="10">
        <v>44746</v>
      </c>
      <c r="E782" s="16">
        <v>7.1539999999999999</v>
      </c>
      <c r="F782" s="11">
        <v>342</v>
      </c>
    </row>
    <row r="783" spans="1:6" x14ac:dyDescent="0.25">
      <c r="A783" s="9" t="s">
        <v>1112</v>
      </c>
      <c r="B783" s="9" t="s">
        <v>1116</v>
      </c>
      <c r="C783" s="9" t="s">
        <v>1134</v>
      </c>
      <c r="D783" s="10">
        <v>44715</v>
      </c>
      <c r="E783" s="16">
        <v>1.617</v>
      </c>
      <c r="F783" s="11">
        <v>13</v>
      </c>
    </row>
    <row r="784" spans="1:6" x14ac:dyDescent="0.25">
      <c r="A784" s="9" t="s">
        <v>1129</v>
      </c>
      <c r="B784" s="9" t="s">
        <v>1116</v>
      </c>
      <c r="C784" s="9" t="s">
        <v>1108</v>
      </c>
      <c r="D784" s="10">
        <v>44615</v>
      </c>
      <c r="E784" s="16">
        <v>10.821999999999999</v>
      </c>
      <c r="F784" s="11">
        <v>30</v>
      </c>
    </row>
    <row r="785" spans="1:6" x14ac:dyDescent="0.25">
      <c r="A785" s="9" t="s">
        <v>1149</v>
      </c>
      <c r="B785" s="9" t="s">
        <v>1116</v>
      </c>
      <c r="C785" s="9" t="s">
        <v>1113</v>
      </c>
      <c r="D785" s="10">
        <v>44690</v>
      </c>
      <c r="E785" s="16">
        <v>10.724</v>
      </c>
      <c r="F785" s="11">
        <v>203</v>
      </c>
    </row>
    <row r="786" spans="1:6" x14ac:dyDescent="0.25">
      <c r="A786" s="9" t="s">
        <v>1144</v>
      </c>
      <c r="B786" s="9" t="s">
        <v>1105</v>
      </c>
      <c r="C786" s="9" t="s">
        <v>1153</v>
      </c>
      <c r="D786" s="10">
        <v>44718</v>
      </c>
      <c r="E786" s="16">
        <v>3.64</v>
      </c>
      <c r="F786" s="11">
        <v>106</v>
      </c>
    </row>
    <row r="787" spans="1:6" x14ac:dyDescent="0.25">
      <c r="A787" s="9" t="s">
        <v>1144</v>
      </c>
      <c r="B787" s="9" t="s">
        <v>1105</v>
      </c>
      <c r="C787" s="9" t="s">
        <v>1127</v>
      </c>
      <c r="D787" s="10">
        <v>44746</v>
      </c>
      <c r="E787" s="16">
        <v>7.532</v>
      </c>
      <c r="F787" s="11">
        <v>234</v>
      </c>
    </row>
    <row r="788" spans="1:6" x14ac:dyDescent="0.25">
      <c r="A788" s="9" t="s">
        <v>1118</v>
      </c>
      <c r="B788" s="9" t="s">
        <v>1116</v>
      </c>
      <c r="C788" s="9" t="s">
        <v>1127</v>
      </c>
      <c r="D788" s="10">
        <v>44718</v>
      </c>
      <c r="E788" s="16">
        <v>1.5820000000000001</v>
      </c>
      <c r="F788" s="11">
        <v>100</v>
      </c>
    </row>
    <row r="789" spans="1:6" x14ac:dyDescent="0.25">
      <c r="A789" s="9" t="s">
        <v>1149</v>
      </c>
      <c r="B789" s="9" t="s">
        <v>1110</v>
      </c>
      <c r="C789" s="9" t="s">
        <v>1142</v>
      </c>
      <c r="D789" s="10">
        <v>44694</v>
      </c>
      <c r="E789" s="16">
        <v>1.456</v>
      </c>
      <c r="F789" s="11">
        <v>91</v>
      </c>
    </row>
    <row r="790" spans="1:6" x14ac:dyDescent="0.25">
      <c r="A790" s="9" t="s">
        <v>1141</v>
      </c>
      <c r="B790" s="9" t="s">
        <v>1116</v>
      </c>
      <c r="C790" s="9" t="s">
        <v>1130</v>
      </c>
      <c r="D790" s="10">
        <v>44592</v>
      </c>
      <c r="E790" s="16">
        <v>2.016</v>
      </c>
      <c r="F790" s="11">
        <v>277</v>
      </c>
    </row>
    <row r="791" spans="1:6" x14ac:dyDescent="0.25">
      <c r="A791" s="9" t="s">
        <v>1150</v>
      </c>
      <c r="B791" s="9" t="s">
        <v>1116</v>
      </c>
      <c r="C791" s="9" t="s">
        <v>1152</v>
      </c>
      <c r="D791" s="10">
        <v>44742</v>
      </c>
      <c r="E791" s="16">
        <v>7.5880000000000001</v>
      </c>
      <c r="F791" s="11">
        <v>42</v>
      </c>
    </row>
    <row r="792" spans="1:6" x14ac:dyDescent="0.25">
      <c r="A792" s="9" t="s">
        <v>1120</v>
      </c>
      <c r="B792" s="9" t="s">
        <v>1124</v>
      </c>
      <c r="C792" s="9" t="s">
        <v>1140</v>
      </c>
      <c r="D792" s="10">
        <v>44798</v>
      </c>
      <c r="E792" s="16">
        <v>3.4020000000000001</v>
      </c>
      <c r="F792" s="11">
        <v>249</v>
      </c>
    </row>
    <row r="793" spans="1:6" x14ac:dyDescent="0.25">
      <c r="A793" s="9" t="s">
        <v>1107</v>
      </c>
      <c r="B793" s="9" t="s">
        <v>1116</v>
      </c>
      <c r="C793" s="9" t="s">
        <v>1111</v>
      </c>
      <c r="D793" s="10">
        <v>44571</v>
      </c>
      <c r="E793" s="16">
        <v>700</v>
      </c>
      <c r="F793" s="11">
        <v>97</v>
      </c>
    </row>
    <row r="794" spans="1:6" x14ac:dyDescent="0.25">
      <c r="A794" s="9" t="s">
        <v>1118</v>
      </c>
      <c r="B794" s="9" t="s">
        <v>1121</v>
      </c>
      <c r="C794" s="9" t="s">
        <v>1140</v>
      </c>
      <c r="D794" s="10">
        <v>44795</v>
      </c>
      <c r="E794" s="16">
        <v>1.9039999999999999</v>
      </c>
      <c r="F794" s="11">
        <v>8</v>
      </c>
    </row>
    <row r="795" spans="1:6" x14ac:dyDescent="0.25">
      <c r="A795" s="9" t="s">
        <v>1131</v>
      </c>
      <c r="B795" s="9" t="s">
        <v>1116</v>
      </c>
      <c r="C795" s="9" t="s">
        <v>1106</v>
      </c>
      <c r="D795" s="10">
        <v>44665</v>
      </c>
      <c r="E795" s="16">
        <v>4.8440000000000003</v>
      </c>
      <c r="F795" s="11">
        <v>275</v>
      </c>
    </row>
    <row r="796" spans="1:6" x14ac:dyDescent="0.25">
      <c r="A796" s="9" t="s">
        <v>1112</v>
      </c>
      <c r="B796" s="9" t="s">
        <v>1102</v>
      </c>
      <c r="C796" s="9" t="s">
        <v>1111</v>
      </c>
      <c r="D796" s="10">
        <v>44712</v>
      </c>
      <c r="E796" s="16">
        <v>9.625</v>
      </c>
      <c r="F796" s="11">
        <v>313</v>
      </c>
    </row>
    <row r="797" spans="1:6" x14ac:dyDescent="0.25">
      <c r="A797" s="9" t="s">
        <v>1112</v>
      </c>
      <c r="B797" s="9" t="s">
        <v>1102</v>
      </c>
      <c r="C797" s="9" t="s">
        <v>1146</v>
      </c>
      <c r="D797" s="10">
        <v>44659</v>
      </c>
      <c r="E797" s="16">
        <v>4.5990000000000002</v>
      </c>
      <c r="F797" s="11">
        <v>323</v>
      </c>
    </row>
    <row r="798" spans="1:6" x14ac:dyDescent="0.25">
      <c r="A798" s="9" t="s">
        <v>1131</v>
      </c>
      <c r="B798" s="9" t="s">
        <v>1121</v>
      </c>
      <c r="C798" s="9" t="s">
        <v>1127</v>
      </c>
      <c r="D798" s="10">
        <v>44613</v>
      </c>
      <c r="E798" s="16">
        <v>3.0030000000000001</v>
      </c>
      <c r="F798" s="11">
        <v>155</v>
      </c>
    </row>
    <row r="799" spans="1:6" x14ac:dyDescent="0.25">
      <c r="A799" s="9" t="s">
        <v>1143</v>
      </c>
      <c r="B799" s="9" t="s">
        <v>1110</v>
      </c>
      <c r="C799" s="9" t="s">
        <v>1140</v>
      </c>
      <c r="D799" s="10">
        <v>44650</v>
      </c>
      <c r="E799" s="16">
        <v>9.7439999999999998</v>
      </c>
      <c r="F799" s="11">
        <v>377</v>
      </c>
    </row>
    <row r="800" spans="1:6" x14ac:dyDescent="0.25">
      <c r="A800" s="9" t="s">
        <v>1123</v>
      </c>
      <c r="B800" s="9" t="s">
        <v>1105</v>
      </c>
      <c r="C800" s="9" t="s">
        <v>1146</v>
      </c>
      <c r="D800" s="10">
        <v>44622</v>
      </c>
      <c r="E800" s="16">
        <v>1.4</v>
      </c>
      <c r="F800" s="11">
        <v>2</v>
      </c>
    </row>
    <row r="801" spans="1:6" x14ac:dyDescent="0.25">
      <c r="A801" s="9" t="s">
        <v>1101</v>
      </c>
      <c r="B801" s="9" t="s">
        <v>1121</v>
      </c>
      <c r="C801" s="9" t="s">
        <v>1122</v>
      </c>
      <c r="D801" s="10">
        <v>44770</v>
      </c>
      <c r="E801" s="16">
        <v>364</v>
      </c>
      <c r="F801" s="11">
        <v>170</v>
      </c>
    </row>
    <row r="802" spans="1:6" x14ac:dyDescent="0.25">
      <c r="A802" s="9" t="s">
        <v>1136</v>
      </c>
      <c r="B802" s="9" t="s">
        <v>1116</v>
      </c>
      <c r="C802" s="9" t="s">
        <v>1153</v>
      </c>
      <c r="D802" s="10">
        <v>44644</v>
      </c>
      <c r="E802" s="16">
        <v>7.2309999999999999</v>
      </c>
      <c r="F802" s="11">
        <v>38</v>
      </c>
    </row>
    <row r="803" spans="1:6" x14ac:dyDescent="0.25">
      <c r="A803" s="9" t="s">
        <v>1133</v>
      </c>
      <c r="B803" s="9" t="s">
        <v>1110</v>
      </c>
      <c r="C803" s="9" t="s">
        <v>1115</v>
      </c>
      <c r="D803" s="10">
        <v>44784</v>
      </c>
      <c r="E803" s="16">
        <v>63</v>
      </c>
      <c r="F803" s="11">
        <v>105</v>
      </c>
    </row>
    <row r="804" spans="1:6" x14ac:dyDescent="0.25">
      <c r="A804" s="9" t="s">
        <v>1135</v>
      </c>
      <c r="B804" s="9" t="s">
        <v>1102</v>
      </c>
      <c r="C804" s="9" t="s">
        <v>1142</v>
      </c>
      <c r="D804" s="10">
        <v>44698</v>
      </c>
      <c r="E804" s="16">
        <v>8.3089999999999993</v>
      </c>
      <c r="F804" s="11">
        <v>166</v>
      </c>
    </row>
    <row r="805" spans="1:6" x14ac:dyDescent="0.25">
      <c r="A805" s="9" t="s">
        <v>1136</v>
      </c>
      <c r="B805" s="9" t="s">
        <v>1124</v>
      </c>
      <c r="C805" s="9" t="s">
        <v>1147</v>
      </c>
      <c r="D805" s="10">
        <v>44699</v>
      </c>
      <c r="E805" s="16">
        <v>3.1640000000000001</v>
      </c>
      <c r="F805" s="11">
        <v>164</v>
      </c>
    </row>
    <row r="806" spans="1:6" x14ac:dyDescent="0.25">
      <c r="A806" s="9" t="s">
        <v>1131</v>
      </c>
      <c r="B806" s="9" t="s">
        <v>1102</v>
      </c>
      <c r="C806" s="9" t="s">
        <v>1108</v>
      </c>
      <c r="D806" s="10">
        <v>44790</v>
      </c>
      <c r="E806" s="16">
        <v>5.6909999999999998</v>
      </c>
      <c r="F806" s="11">
        <v>171</v>
      </c>
    </row>
    <row r="807" spans="1:6" x14ac:dyDescent="0.25">
      <c r="A807" s="9" t="s">
        <v>1150</v>
      </c>
      <c r="B807" s="9" t="s">
        <v>1116</v>
      </c>
      <c r="C807" s="9" t="s">
        <v>1125</v>
      </c>
      <c r="D807" s="10">
        <v>44655</v>
      </c>
      <c r="E807" s="16">
        <v>490</v>
      </c>
      <c r="F807" s="11">
        <v>49</v>
      </c>
    </row>
    <row r="808" spans="1:6" x14ac:dyDescent="0.25">
      <c r="A808" s="9" t="s">
        <v>1118</v>
      </c>
      <c r="B808" s="9" t="s">
        <v>1105</v>
      </c>
      <c r="C808" s="9" t="s">
        <v>1106</v>
      </c>
      <c r="D808" s="10">
        <v>44782</v>
      </c>
      <c r="E808" s="16">
        <v>18.032</v>
      </c>
      <c r="F808" s="11">
        <v>205</v>
      </c>
    </row>
    <row r="809" spans="1:6" x14ac:dyDescent="0.25">
      <c r="A809" s="9" t="s">
        <v>1118</v>
      </c>
      <c r="B809" s="9" t="s">
        <v>1116</v>
      </c>
      <c r="C809" s="9" t="s">
        <v>1130</v>
      </c>
      <c r="D809" s="10">
        <v>44578</v>
      </c>
      <c r="E809" s="16">
        <v>637</v>
      </c>
      <c r="F809" s="11">
        <v>313</v>
      </c>
    </row>
    <row r="810" spans="1:6" x14ac:dyDescent="0.25">
      <c r="A810" s="9" t="s">
        <v>1143</v>
      </c>
      <c r="B810" s="9" t="s">
        <v>1124</v>
      </c>
      <c r="C810" s="9" t="s">
        <v>1139</v>
      </c>
      <c r="D810" s="10">
        <v>44606</v>
      </c>
      <c r="E810" s="16">
        <v>4.0670000000000002</v>
      </c>
      <c r="F810" s="11">
        <v>29</v>
      </c>
    </row>
    <row r="811" spans="1:6" x14ac:dyDescent="0.25">
      <c r="A811" s="9" t="s">
        <v>1107</v>
      </c>
      <c r="B811" s="9" t="s">
        <v>1116</v>
      </c>
      <c r="C811" s="9" t="s">
        <v>1122</v>
      </c>
      <c r="D811" s="10">
        <v>44697</v>
      </c>
      <c r="E811" s="16">
        <v>8.2040000000000006</v>
      </c>
      <c r="F811" s="11">
        <v>307</v>
      </c>
    </row>
    <row r="812" spans="1:6" x14ac:dyDescent="0.25">
      <c r="A812" s="9" t="s">
        <v>1150</v>
      </c>
      <c r="B812" s="9" t="s">
        <v>1124</v>
      </c>
      <c r="C812" s="9" t="s">
        <v>1111</v>
      </c>
      <c r="D812" s="10">
        <v>44636</v>
      </c>
      <c r="E812" s="16">
        <v>9.8699999999999992</v>
      </c>
      <c r="F812" s="11">
        <v>121</v>
      </c>
    </row>
    <row r="813" spans="1:6" x14ac:dyDescent="0.25">
      <c r="A813" s="9" t="s">
        <v>1135</v>
      </c>
      <c r="B813" s="9" t="s">
        <v>1124</v>
      </c>
      <c r="C813" s="9" t="s">
        <v>1153</v>
      </c>
      <c r="D813" s="10">
        <v>44592</v>
      </c>
      <c r="E813" s="16">
        <v>5.1310000000000002</v>
      </c>
      <c r="F813" s="11">
        <v>285</v>
      </c>
    </row>
    <row r="814" spans="1:6" x14ac:dyDescent="0.25">
      <c r="A814" s="9" t="s">
        <v>1120</v>
      </c>
      <c r="B814" s="9" t="s">
        <v>1124</v>
      </c>
      <c r="C814" s="9" t="s">
        <v>1130</v>
      </c>
      <c r="D814" s="10">
        <v>44630</v>
      </c>
      <c r="E814" s="16">
        <v>1.141</v>
      </c>
      <c r="F814" s="11">
        <v>205</v>
      </c>
    </row>
    <row r="815" spans="1:6" x14ac:dyDescent="0.25">
      <c r="A815" s="9" t="s">
        <v>1112</v>
      </c>
      <c r="B815" s="9" t="s">
        <v>1102</v>
      </c>
      <c r="C815" s="9" t="s">
        <v>1130</v>
      </c>
      <c r="D815" s="10">
        <v>44742</v>
      </c>
      <c r="E815" s="16">
        <v>7.98</v>
      </c>
      <c r="F815" s="11">
        <v>157</v>
      </c>
    </row>
    <row r="816" spans="1:6" x14ac:dyDescent="0.25">
      <c r="A816" s="9" t="s">
        <v>1104</v>
      </c>
      <c r="B816" s="9" t="s">
        <v>1116</v>
      </c>
      <c r="C816" s="9" t="s">
        <v>1125</v>
      </c>
      <c r="D816" s="10">
        <v>44621</v>
      </c>
      <c r="E816" s="16">
        <v>5.2290000000000001</v>
      </c>
      <c r="F816" s="11">
        <v>182</v>
      </c>
    </row>
    <row r="817" spans="1:6" x14ac:dyDescent="0.25">
      <c r="A817" s="9" t="s">
        <v>1123</v>
      </c>
      <c r="B817" s="9" t="s">
        <v>1102</v>
      </c>
      <c r="C817" s="9" t="s">
        <v>1127</v>
      </c>
      <c r="D817" s="10">
        <v>44708</v>
      </c>
      <c r="E817" s="16">
        <v>3.423</v>
      </c>
      <c r="F817" s="11">
        <v>100</v>
      </c>
    </row>
    <row r="818" spans="1:6" x14ac:dyDescent="0.25">
      <c r="A818" s="9" t="s">
        <v>1112</v>
      </c>
      <c r="B818" s="9" t="s">
        <v>1102</v>
      </c>
      <c r="C818" s="9" t="s">
        <v>1132</v>
      </c>
      <c r="D818" s="10">
        <v>44753</v>
      </c>
      <c r="E818" s="16">
        <v>6.468</v>
      </c>
      <c r="F818" s="11">
        <v>223</v>
      </c>
    </row>
    <row r="819" spans="1:6" x14ac:dyDescent="0.25">
      <c r="A819" s="9" t="s">
        <v>1126</v>
      </c>
      <c r="B819" s="9" t="s">
        <v>1116</v>
      </c>
      <c r="C819" s="9" t="s">
        <v>1103</v>
      </c>
      <c r="D819" s="10">
        <v>44622</v>
      </c>
      <c r="E819" s="16">
        <v>4.3259999999999996</v>
      </c>
      <c r="F819" s="11">
        <v>61</v>
      </c>
    </row>
    <row r="820" spans="1:6" x14ac:dyDescent="0.25">
      <c r="A820" s="9" t="s">
        <v>1101</v>
      </c>
      <c r="B820" s="9" t="s">
        <v>1121</v>
      </c>
      <c r="C820" s="9" t="s">
        <v>1146</v>
      </c>
      <c r="D820" s="10">
        <v>44624</v>
      </c>
      <c r="E820" s="16">
        <v>7.1539999999999999</v>
      </c>
      <c r="F820" s="11">
        <v>133</v>
      </c>
    </row>
    <row r="821" spans="1:6" x14ac:dyDescent="0.25">
      <c r="A821" s="9" t="s">
        <v>1144</v>
      </c>
      <c r="B821" s="9" t="s">
        <v>1102</v>
      </c>
      <c r="C821" s="9" t="s">
        <v>1106</v>
      </c>
      <c r="D821" s="10">
        <v>44735</v>
      </c>
      <c r="E821" s="16">
        <v>3.9969999999999999</v>
      </c>
      <c r="F821" s="11">
        <v>228</v>
      </c>
    </row>
    <row r="822" spans="1:6" x14ac:dyDescent="0.25">
      <c r="A822" s="9" t="s">
        <v>1144</v>
      </c>
      <c r="B822" s="9" t="s">
        <v>1121</v>
      </c>
      <c r="C822" s="9" t="s">
        <v>1142</v>
      </c>
      <c r="D822" s="10">
        <v>44588</v>
      </c>
      <c r="E822" s="16">
        <v>5.18</v>
      </c>
      <c r="F822" s="11">
        <v>233</v>
      </c>
    </row>
    <row r="823" spans="1:6" x14ac:dyDescent="0.25">
      <c r="A823" s="9" t="s">
        <v>1128</v>
      </c>
      <c r="B823" s="9" t="s">
        <v>1124</v>
      </c>
      <c r="C823" s="9" t="s">
        <v>1122</v>
      </c>
      <c r="D823" s="10">
        <v>44575</v>
      </c>
      <c r="E823" s="16">
        <v>2.7229999999999999</v>
      </c>
      <c r="F823" s="11">
        <v>425</v>
      </c>
    </row>
    <row r="824" spans="1:6" x14ac:dyDescent="0.25">
      <c r="A824" s="9" t="s">
        <v>1138</v>
      </c>
      <c r="B824" s="9" t="s">
        <v>1105</v>
      </c>
      <c r="C824" s="9" t="s">
        <v>1137</v>
      </c>
      <c r="D824" s="10">
        <v>44771</v>
      </c>
      <c r="E824" s="16">
        <v>952</v>
      </c>
      <c r="F824" s="11">
        <v>24</v>
      </c>
    </row>
    <row r="825" spans="1:6" x14ac:dyDescent="0.25">
      <c r="A825" s="9" t="s">
        <v>1118</v>
      </c>
      <c r="B825" s="9" t="s">
        <v>1124</v>
      </c>
      <c r="C825" s="9" t="s">
        <v>1111</v>
      </c>
      <c r="D825" s="10">
        <v>44694</v>
      </c>
      <c r="E825" s="16">
        <v>5.6909999999999998</v>
      </c>
      <c r="F825" s="11">
        <v>495</v>
      </c>
    </row>
    <row r="826" spans="1:6" x14ac:dyDescent="0.25">
      <c r="A826" s="9" t="s">
        <v>1120</v>
      </c>
      <c r="B826" s="9" t="s">
        <v>1124</v>
      </c>
      <c r="C826" s="9" t="s">
        <v>1151</v>
      </c>
      <c r="D826" s="10">
        <v>44595</v>
      </c>
      <c r="E826" s="16">
        <v>10.968999999999999</v>
      </c>
      <c r="F826" s="11">
        <v>170</v>
      </c>
    </row>
    <row r="827" spans="1:6" x14ac:dyDescent="0.25">
      <c r="A827" s="9" t="s">
        <v>1118</v>
      </c>
      <c r="B827" s="9" t="s">
        <v>1105</v>
      </c>
      <c r="C827" s="9" t="s">
        <v>1111</v>
      </c>
      <c r="D827" s="10">
        <v>44708</v>
      </c>
      <c r="E827" s="16">
        <v>5.9640000000000004</v>
      </c>
      <c r="F827" s="11">
        <v>26</v>
      </c>
    </row>
    <row r="828" spans="1:6" x14ac:dyDescent="0.25">
      <c r="A828" s="9" t="s">
        <v>1109</v>
      </c>
      <c r="B828" s="9" t="s">
        <v>1110</v>
      </c>
      <c r="C828" s="9" t="s">
        <v>1127</v>
      </c>
      <c r="D828" s="10">
        <v>44610</v>
      </c>
      <c r="E828" s="16">
        <v>2.8210000000000002</v>
      </c>
      <c r="F828" s="11">
        <v>24</v>
      </c>
    </row>
    <row r="829" spans="1:6" x14ac:dyDescent="0.25">
      <c r="A829" s="9" t="s">
        <v>1118</v>
      </c>
      <c r="B829" s="9" t="s">
        <v>1105</v>
      </c>
      <c r="C829" s="9" t="s">
        <v>1134</v>
      </c>
      <c r="D829" s="10">
        <v>44589</v>
      </c>
      <c r="E829" s="16">
        <v>1.302</v>
      </c>
      <c r="F829" s="11">
        <v>33</v>
      </c>
    </row>
    <row r="830" spans="1:6" x14ac:dyDescent="0.25">
      <c r="A830" s="9" t="s">
        <v>1104</v>
      </c>
      <c r="B830" s="9" t="s">
        <v>1102</v>
      </c>
      <c r="C830" s="9" t="s">
        <v>1125</v>
      </c>
      <c r="D830" s="10">
        <v>44741</v>
      </c>
      <c r="E830" s="16">
        <v>5.4740000000000002</v>
      </c>
      <c r="F830" s="11">
        <v>109</v>
      </c>
    </row>
    <row r="831" spans="1:6" x14ac:dyDescent="0.25">
      <c r="A831" s="9" t="s">
        <v>1141</v>
      </c>
      <c r="B831" s="9" t="s">
        <v>1105</v>
      </c>
      <c r="C831" s="9" t="s">
        <v>1152</v>
      </c>
      <c r="D831" s="10">
        <v>44574</v>
      </c>
      <c r="E831" s="16">
        <v>4.1790000000000003</v>
      </c>
      <c r="F831" s="11">
        <v>276</v>
      </c>
    </row>
    <row r="832" spans="1:6" x14ac:dyDescent="0.25">
      <c r="A832" s="9" t="s">
        <v>1101</v>
      </c>
      <c r="B832" s="9" t="s">
        <v>1102</v>
      </c>
      <c r="C832" s="9" t="s">
        <v>1115</v>
      </c>
      <c r="D832" s="10">
        <v>44739</v>
      </c>
      <c r="E832" s="16">
        <v>1.946</v>
      </c>
      <c r="F832" s="11">
        <v>164</v>
      </c>
    </row>
    <row r="833" spans="1:6" x14ac:dyDescent="0.25">
      <c r="A833" s="9" t="s">
        <v>1120</v>
      </c>
      <c r="B833" s="9" t="s">
        <v>1124</v>
      </c>
      <c r="C833" s="9" t="s">
        <v>1139</v>
      </c>
      <c r="D833" s="10">
        <v>44649</v>
      </c>
      <c r="E833" s="16">
        <v>4.2910000000000004</v>
      </c>
      <c r="F833" s="11">
        <v>1</v>
      </c>
    </row>
    <row r="834" spans="1:6" x14ac:dyDescent="0.25">
      <c r="A834" s="9" t="s">
        <v>1114</v>
      </c>
      <c r="B834" s="9" t="s">
        <v>1105</v>
      </c>
      <c r="C834" s="9" t="s">
        <v>1130</v>
      </c>
      <c r="D834" s="10">
        <v>44715</v>
      </c>
      <c r="E834" s="16">
        <v>7.1959999999999997</v>
      </c>
      <c r="F834" s="11">
        <v>160</v>
      </c>
    </row>
    <row r="835" spans="1:6" x14ac:dyDescent="0.25">
      <c r="A835" s="9" t="s">
        <v>1123</v>
      </c>
      <c r="B835" s="9" t="s">
        <v>1124</v>
      </c>
      <c r="C835" s="9" t="s">
        <v>1111</v>
      </c>
      <c r="D835" s="10">
        <v>44641</v>
      </c>
      <c r="E835" s="16">
        <v>1.9390000000000001</v>
      </c>
      <c r="F835" s="11">
        <v>98</v>
      </c>
    </row>
    <row r="836" spans="1:6" x14ac:dyDescent="0.25">
      <c r="A836" s="9" t="s">
        <v>1123</v>
      </c>
      <c r="B836" s="9" t="s">
        <v>1105</v>
      </c>
      <c r="C836" s="9" t="s">
        <v>1125</v>
      </c>
      <c r="D836" s="10">
        <v>44663</v>
      </c>
      <c r="E836" s="16">
        <v>10.436999999999999</v>
      </c>
      <c r="F836" s="11">
        <v>46</v>
      </c>
    </row>
    <row r="837" spans="1:6" x14ac:dyDescent="0.25">
      <c r="A837" s="9" t="s">
        <v>1119</v>
      </c>
      <c r="B837" s="9" t="s">
        <v>1110</v>
      </c>
      <c r="C837" s="9" t="s">
        <v>1146</v>
      </c>
      <c r="D837" s="10">
        <v>44580</v>
      </c>
      <c r="E837" s="16">
        <v>6.9160000000000004</v>
      </c>
      <c r="F837" s="11">
        <v>259</v>
      </c>
    </row>
    <row r="838" spans="1:6" x14ac:dyDescent="0.25">
      <c r="A838" s="9" t="s">
        <v>1126</v>
      </c>
      <c r="B838" s="9" t="s">
        <v>1102</v>
      </c>
      <c r="C838" s="9" t="s">
        <v>1117</v>
      </c>
      <c r="D838" s="10">
        <v>44657</v>
      </c>
      <c r="E838" s="16">
        <v>3.6469999999999998</v>
      </c>
      <c r="F838" s="11">
        <v>310</v>
      </c>
    </row>
    <row r="839" spans="1:6" x14ac:dyDescent="0.25">
      <c r="A839" s="9" t="s">
        <v>1136</v>
      </c>
      <c r="B839" s="9" t="s">
        <v>1110</v>
      </c>
      <c r="C839" s="9" t="s">
        <v>1117</v>
      </c>
      <c r="D839" s="10">
        <v>44775</v>
      </c>
      <c r="E839" s="16">
        <v>8.9949999999999992</v>
      </c>
      <c r="F839" s="11">
        <v>78</v>
      </c>
    </row>
    <row r="840" spans="1:6" x14ac:dyDescent="0.25">
      <c r="A840" s="9" t="s">
        <v>1107</v>
      </c>
      <c r="B840" s="9" t="s">
        <v>1110</v>
      </c>
      <c r="C840" s="9" t="s">
        <v>1125</v>
      </c>
      <c r="D840" s="10">
        <v>44663</v>
      </c>
      <c r="E840" s="16">
        <v>7.2519999999999998</v>
      </c>
      <c r="F840" s="11">
        <v>136</v>
      </c>
    </row>
    <row r="841" spans="1:6" x14ac:dyDescent="0.25">
      <c r="A841" s="9" t="s">
        <v>1112</v>
      </c>
      <c r="B841" s="9" t="s">
        <v>1105</v>
      </c>
      <c r="C841" s="9" t="s">
        <v>1127</v>
      </c>
      <c r="D841" s="10">
        <v>44763</v>
      </c>
      <c r="E841" s="16">
        <v>16.38</v>
      </c>
      <c r="F841" s="11">
        <v>130</v>
      </c>
    </row>
    <row r="842" spans="1:6" x14ac:dyDescent="0.25">
      <c r="A842" s="9" t="s">
        <v>1104</v>
      </c>
      <c r="B842" s="9" t="s">
        <v>1116</v>
      </c>
      <c r="C842" s="9" t="s">
        <v>1151</v>
      </c>
      <c r="D842" s="10">
        <v>44642</v>
      </c>
      <c r="E842" s="16">
        <v>9.66</v>
      </c>
      <c r="F842" s="11">
        <v>24</v>
      </c>
    </row>
    <row r="843" spans="1:6" x14ac:dyDescent="0.25">
      <c r="A843" s="9" t="s">
        <v>1135</v>
      </c>
      <c r="B843" s="9" t="s">
        <v>1105</v>
      </c>
      <c r="C843" s="9" t="s">
        <v>1108</v>
      </c>
      <c r="D843" s="10">
        <v>44690</v>
      </c>
      <c r="E843" s="16">
        <v>4.5220000000000002</v>
      </c>
      <c r="F843" s="11">
        <v>5</v>
      </c>
    </row>
    <row r="844" spans="1:6" x14ac:dyDescent="0.25">
      <c r="A844" s="9" t="s">
        <v>1143</v>
      </c>
      <c r="B844" s="9" t="s">
        <v>1110</v>
      </c>
      <c r="C844" s="9" t="s">
        <v>1151</v>
      </c>
      <c r="D844" s="10">
        <v>44782</v>
      </c>
      <c r="E844" s="16">
        <v>329</v>
      </c>
      <c r="F844" s="11">
        <v>109</v>
      </c>
    </row>
    <row r="845" spans="1:6" x14ac:dyDescent="0.25">
      <c r="A845" s="9" t="s">
        <v>1148</v>
      </c>
      <c r="B845" s="9" t="s">
        <v>1124</v>
      </c>
      <c r="C845" s="9" t="s">
        <v>1147</v>
      </c>
      <c r="D845" s="10">
        <v>44762</v>
      </c>
      <c r="E845" s="16">
        <v>3.4580000000000002</v>
      </c>
      <c r="F845" s="11">
        <v>294</v>
      </c>
    </row>
    <row r="846" spans="1:6" x14ac:dyDescent="0.25">
      <c r="A846" s="9" t="s">
        <v>1118</v>
      </c>
      <c r="B846" s="9" t="s">
        <v>1105</v>
      </c>
      <c r="C846" s="9" t="s">
        <v>1153</v>
      </c>
      <c r="D846" s="10">
        <v>44665</v>
      </c>
      <c r="E846" s="16">
        <v>4.641</v>
      </c>
      <c r="F846" s="11">
        <v>413</v>
      </c>
    </row>
    <row r="847" spans="1:6" x14ac:dyDescent="0.25">
      <c r="A847" s="9" t="s">
        <v>1101</v>
      </c>
      <c r="B847" s="9" t="s">
        <v>1124</v>
      </c>
      <c r="C847" s="9" t="s">
        <v>1139</v>
      </c>
      <c r="D847" s="10">
        <v>44586</v>
      </c>
      <c r="E847" s="16">
        <v>4.6269999999999998</v>
      </c>
      <c r="F847" s="11">
        <v>136</v>
      </c>
    </row>
    <row r="848" spans="1:6" x14ac:dyDescent="0.25">
      <c r="A848" s="9" t="s">
        <v>1143</v>
      </c>
      <c r="B848" s="9" t="s">
        <v>1110</v>
      </c>
      <c r="C848" s="9" t="s">
        <v>1142</v>
      </c>
      <c r="D848" s="10">
        <v>44676</v>
      </c>
      <c r="E848" s="16">
        <v>3.1920000000000002</v>
      </c>
      <c r="F848" s="11">
        <v>175</v>
      </c>
    </row>
    <row r="849" spans="1:6" x14ac:dyDescent="0.25">
      <c r="A849" s="9" t="s">
        <v>1149</v>
      </c>
      <c r="B849" s="9" t="s">
        <v>1124</v>
      </c>
      <c r="C849" s="9" t="s">
        <v>1115</v>
      </c>
      <c r="D849" s="10">
        <v>44578</v>
      </c>
      <c r="E849" s="16">
        <v>252</v>
      </c>
      <c r="F849" s="11">
        <v>237</v>
      </c>
    </row>
    <row r="850" spans="1:6" x14ac:dyDescent="0.25">
      <c r="A850" s="9" t="s">
        <v>1126</v>
      </c>
      <c r="B850" s="9" t="s">
        <v>1121</v>
      </c>
      <c r="C850" s="9" t="s">
        <v>1125</v>
      </c>
      <c r="D850" s="10">
        <v>44788</v>
      </c>
      <c r="E850" s="16">
        <v>868</v>
      </c>
      <c r="F850" s="11">
        <v>125</v>
      </c>
    </row>
    <row r="851" spans="1:6" x14ac:dyDescent="0.25">
      <c r="A851" s="9" t="s">
        <v>1126</v>
      </c>
      <c r="B851" s="9" t="s">
        <v>1124</v>
      </c>
      <c r="C851" s="9" t="s">
        <v>1137</v>
      </c>
      <c r="D851" s="10">
        <v>44714</v>
      </c>
      <c r="E851" s="16">
        <v>210</v>
      </c>
      <c r="F851" s="11">
        <v>16</v>
      </c>
    </row>
    <row r="852" spans="1:6" x14ac:dyDescent="0.25">
      <c r="A852" s="9" t="s">
        <v>1114</v>
      </c>
      <c r="B852" s="9" t="s">
        <v>1121</v>
      </c>
      <c r="C852" s="9" t="s">
        <v>1106</v>
      </c>
      <c r="D852" s="10">
        <v>44742</v>
      </c>
      <c r="E852" s="16">
        <v>7.0069999999999997</v>
      </c>
      <c r="F852" s="11">
        <v>135</v>
      </c>
    </row>
    <row r="853" spans="1:6" x14ac:dyDescent="0.25">
      <c r="A853" s="9" t="s">
        <v>1149</v>
      </c>
      <c r="B853" s="9" t="s">
        <v>1116</v>
      </c>
      <c r="C853" s="9" t="s">
        <v>1146</v>
      </c>
      <c r="D853" s="10">
        <v>44602</v>
      </c>
      <c r="E853" s="16">
        <v>5.8449999999999998</v>
      </c>
      <c r="F853" s="11">
        <v>91</v>
      </c>
    </row>
    <row r="854" spans="1:6" x14ac:dyDescent="0.25">
      <c r="A854" s="9" t="s">
        <v>1128</v>
      </c>
      <c r="B854" s="9" t="s">
        <v>1124</v>
      </c>
      <c r="C854" s="9" t="s">
        <v>1152</v>
      </c>
      <c r="D854" s="10">
        <v>44615</v>
      </c>
      <c r="E854" s="16">
        <v>1.3720000000000001</v>
      </c>
      <c r="F854" s="11">
        <v>614</v>
      </c>
    </row>
    <row r="855" spans="1:6" x14ac:dyDescent="0.25">
      <c r="A855" s="9" t="s">
        <v>1138</v>
      </c>
      <c r="B855" s="9" t="s">
        <v>1105</v>
      </c>
      <c r="C855" s="9" t="s">
        <v>1130</v>
      </c>
      <c r="D855" s="10">
        <v>44588</v>
      </c>
      <c r="E855" s="16">
        <v>8.4280000000000008</v>
      </c>
      <c r="F855" s="11">
        <v>216</v>
      </c>
    </row>
    <row r="856" spans="1:6" x14ac:dyDescent="0.25">
      <c r="A856" s="9" t="s">
        <v>1145</v>
      </c>
      <c r="B856" s="9" t="s">
        <v>1102</v>
      </c>
      <c r="C856" s="9" t="s">
        <v>1103</v>
      </c>
      <c r="D856" s="10">
        <v>44707</v>
      </c>
      <c r="E856" s="16">
        <v>4.9770000000000003</v>
      </c>
      <c r="F856" s="11">
        <v>317</v>
      </c>
    </row>
    <row r="857" spans="1:6" x14ac:dyDescent="0.25">
      <c r="A857" s="9" t="s">
        <v>1118</v>
      </c>
      <c r="B857" s="9" t="s">
        <v>1121</v>
      </c>
      <c r="C857" s="9" t="s">
        <v>1153</v>
      </c>
      <c r="D857" s="10">
        <v>44665</v>
      </c>
      <c r="E857" s="16">
        <v>1.694</v>
      </c>
      <c r="F857" s="11">
        <v>21</v>
      </c>
    </row>
    <row r="858" spans="1:6" x14ac:dyDescent="0.25">
      <c r="A858" s="9" t="s">
        <v>1148</v>
      </c>
      <c r="B858" s="9" t="s">
        <v>1110</v>
      </c>
      <c r="C858" s="9" t="s">
        <v>1113</v>
      </c>
      <c r="D858" s="10">
        <v>44774</v>
      </c>
      <c r="E858" s="16">
        <v>4.3259999999999996</v>
      </c>
      <c r="F858" s="11">
        <v>154</v>
      </c>
    </row>
    <row r="859" spans="1:6" x14ac:dyDescent="0.25">
      <c r="A859" s="9" t="s">
        <v>1123</v>
      </c>
      <c r="B859" s="9" t="s">
        <v>1110</v>
      </c>
      <c r="C859" s="9" t="s">
        <v>1125</v>
      </c>
      <c r="D859" s="10">
        <v>44795</v>
      </c>
      <c r="E859" s="16">
        <v>9.5269999999999992</v>
      </c>
      <c r="F859" s="11">
        <v>222</v>
      </c>
    </row>
    <row r="860" spans="1:6" x14ac:dyDescent="0.25">
      <c r="A860" s="9" t="s">
        <v>1128</v>
      </c>
      <c r="B860" s="9" t="s">
        <v>1105</v>
      </c>
      <c r="C860" s="9" t="s">
        <v>1113</v>
      </c>
      <c r="D860" s="10">
        <v>44764</v>
      </c>
      <c r="E860" s="16">
        <v>10.766</v>
      </c>
      <c r="F860" s="11">
        <v>157</v>
      </c>
    </row>
    <row r="861" spans="1:6" x14ac:dyDescent="0.25">
      <c r="A861" s="9" t="s">
        <v>1135</v>
      </c>
      <c r="B861" s="9" t="s">
        <v>1121</v>
      </c>
      <c r="C861" s="9" t="s">
        <v>1137</v>
      </c>
      <c r="D861" s="10">
        <v>44679</v>
      </c>
      <c r="E861" s="16">
        <v>1.288</v>
      </c>
      <c r="F861" s="11">
        <v>27</v>
      </c>
    </row>
    <row r="862" spans="1:6" x14ac:dyDescent="0.25">
      <c r="A862" s="9" t="s">
        <v>1144</v>
      </c>
      <c r="B862" s="9" t="s">
        <v>1110</v>
      </c>
      <c r="C862" s="9" t="s">
        <v>1142</v>
      </c>
      <c r="D862" s="10">
        <v>44711</v>
      </c>
      <c r="E862" s="16">
        <v>4.8789999999999996</v>
      </c>
      <c r="F862" s="11">
        <v>350</v>
      </c>
    </row>
    <row r="863" spans="1:6" x14ac:dyDescent="0.25">
      <c r="A863" s="9" t="s">
        <v>1150</v>
      </c>
      <c r="B863" s="9" t="s">
        <v>1121</v>
      </c>
      <c r="C863" s="9" t="s">
        <v>1132</v>
      </c>
      <c r="D863" s="10">
        <v>44763</v>
      </c>
      <c r="E863" s="16">
        <v>2.4079999999999999</v>
      </c>
      <c r="F863" s="11">
        <v>157</v>
      </c>
    </row>
    <row r="864" spans="1:6" x14ac:dyDescent="0.25">
      <c r="A864" s="9" t="s">
        <v>1109</v>
      </c>
      <c r="B864" s="9" t="s">
        <v>1102</v>
      </c>
      <c r="C864" s="9" t="s">
        <v>1152</v>
      </c>
      <c r="D864" s="10">
        <v>44775</v>
      </c>
      <c r="E864" s="16">
        <v>3.0939999999999999</v>
      </c>
      <c r="F864" s="11">
        <v>468</v>
      </c>
    </row>
    <row r="865" spans="1:6" x14ac:dyDescent="0.25">
      <c r="A865" s="9" t="s">
        <v>1118</v>
      </c>
      <c r="B865" s="9" t="s">
        <v>1116</v>
      </c>
      <c r="C865" s="9" t="s">
        <v>1153</v>
      </c>
      <c r="D865" s="10">
        <v>44727</v>
      </c>
      <c r="E865" s="16">
        <v>7.2309999999999999</v>
      </c>
      <c r="F865" s="11">
        <v>130</v>
      </c>
    </row>
    <row r="866" spans="1:6" x14ac:dyDescent="0.25">
      <c r="A866" s="9" t="s">
        <v>1112</v>
      </c>
      <c r="B866" s="9" t="s">
        <v>1105</v>
      </c>
      <c r="C866" s="9" t="s">
        <v>1106</v>
      </c>
      <c r="D866" s="10">
        <v>44747</v>
      </c>
      <c r="E866" s="16">
        <v>8.9809999999999999</v>
      </c>
      <c r="F866" s="11">
        <v>130</v>
      </c>
    </row>
    <row r="867" spans="1:6" x14ac:dyDescent="0.25">
      <c r="A867" s="9" t="s">
        <v>1136</v>
      </c>
      <c r="B867" s="9" t="s">
        <v>1116</v>
      </c>
      <c r="C867" s="9" t="s">
        <v>1111</v>
      </c>
      <c r="D867" s="10">
        <v>44663</v>
      </c>
      <c r="E867" s="16">
        <v>7</v>
      </c>
      <c r="F867" s="11">
        <v>518</v>
      </c>
    </row>
    <row r="868" spans="1:6" x14ac:dyDescent="0.25">
      <c r="A868" s="9" t="s">
        <v>1107</v>
      </c>
      <c r="B868" s="9" t="s">
        <v>1110</v>
      </c>
      <c r="C868" s="9" t="s">
        <v>1153</v>
      </c>
      <c r="D868" s="10">
        <v>44791</v>
      </c>
      <c r="E868" s="16">
        <v>1.3720000000000001</v>
      </c>
      <c r="F868" s="11">
        <v>105</v>
      </c>
    </row>
    <row r="869" spans="1:6" x14ac:dyDescent="0.25">
      <c r="A869" s="9" t="s">
        <v>1109</v>
      </c>
      <c r="B869" s="9" t="s">
        <v>1102</v>
      </c>
      <c r="C869" s="9" t="s">
        <v>1117</v>
      </c>
      <c r="D869" s="10">
        <v>44573</v>
      </c>
      <c r="E869" s="16">
        <v>5.25</v>
      </c>
      <c r="F869" s="11">
        <v>293</v>
      </c>
    </row>
    <row r="870" spans="1:6" x14ac:dyDescent="0.25">
      <c r="A870" s="9" t="s">
        <v>1114</v>
      </c>
      <c r="B870" s="9" t="s">
        <v>1124</v>
      </c>
      <c r="C870" s="9" t="s">
        <v>1139</v>
      </c>
      <c r="D870" s="10">
        <v>44784</v>
      </c>
      <c r="E870" s="16">
        <v>7.56</v>
      </c>
      <c r="F870" s="11">
        <v>15</v>
      </c>
    </row>
    <row r="871" spans="1:6" x14ac:dyDescent="0.25">
      <c r="A871" s="9" t="s">
        <v>1101</v>
      </c>
      <c r="B871" s="9" t="s">
        <v>1110</v>
      </c>
      <c r="C871" s="9" t="s">
        <v>1134</v>
      </c>
      <c r="D871" s="10">
        <v>44574</v>
      </c>
      <c r="E871" s="16">
        <v>5.0119999999999996</v>
      </c>
      <c r="F871" s="11">
        <v>384</v>
      </c>
    </row>
    <row r="872" spans="1:6" x14ac:dyDescent="0.25">
      <c r="A872" s="9" t="s">
        <v>1135</v>
      </c>
      <c r="B872" s="9" t="s">
        <v>1102</v>
      </c>
      <c r="C872" s="9" t="s">
        <v>1151</v>
      </c>
      <c r="D872" s="10">
        <v>44680</v>
      </c>
      <c r="E872" s="16">
        <v>3.0379999999999998</v>
      </c>
      <c r="F872" s="11">
        <v>135</v>
      </c>
    </row>
    <row r="873" spans="1:6" x14ac:dyDescent="0.25">
      <c r="A873" s="9" t="s">
        <v>1119</v>
      </c>
      <c r="B873" s="9" t="s">
        <v>1116</v>
      </c>
      <c r="C873" s="9" t="s">
        <v>1115</v>
      </c>
      <c r="D873" s="10">
        <v>44749</v>
      </c>
      <c r="E873" s="16">
        <v>1.099</v>
      </c>
      <c r="F873" s="11">
        <v>92</v>
      </c>
    </row>
    <row r="874" spans="1:6" x14ac:dyDescent="0.25">
      <c r="A874" s="9" t="s">
        <v>1148</v>
      </c>
      <c r="B874" s="9" t="s">
        <v>1116</v>
      </c>
      <c r="C874" s="9" t="s">
        <v>1103</v>
      </c>
      <c r="D874" s="10">
        <v>44631</v>
      </c>
      <c r="E874" s="16">
        <v>7.4130000000000003</v>
      </c>
      <c r="F874" s="11">
        <v>4</v>
      </c>
    </row>
    <row r="875" spans="1:6" x14ac:dyDescent="0.25">
      <c r="A875" s="9" t="s">
        <v>1148</v>
      </c>
      <c r="B875" s="9" t="s">
        <v>1102</v>
      </c>
      <c r="C875" s="9" t="s">
        <v>1153</v>
      </c>
      <c r="D875" s="10">
        <v>44608</v>
      </c>
      <c r="E875" s="16">
        <v>5.3970000000000002</v>
      </c>
      <c r="F875" s="11">
        <v>239</v>
      </c>
    </row>
    <row r="876" spans="1:6" x14ac:dyDescent="0.25">
      <c r="A876" s="9" t="s">
        <v>1120</v>
      </c>
      <c r="B876" s="9" t="s">
        <v>1110</v>
      </c>
      <c r="C876" s="9" t="s">
        <v>1130</v>
      </c>
      <c r="D876" s="10">
        <v>44568</v>
      </c>
      <c r="E876" s="16">
        <v>2.3029999999999999</v>
      </c>
      <c r="F876" s="11">
        <v>33</v>
      </c>
    </row>
    <row r="877" spans="1:6" x14ac:dyDescent="0.25">
      <c r="A877" s="9" t="s">
        <v>1129</v>
      </c>
      <c r="B877" s="9" t="s">
        <v>1116</v>
      </c>
      <c r="C877" s="9" t="s">
        <v>1127</v>
      </c>
      <c r="D877" s="10">
        <v>44573</v>
      </c>
      <c r="E877" s="16">
        <v>1.141</v>
      </c>
      <c r="F877" s="11">
        <v>518</v>
      </c>
    </row>
    <row r="878" spans="1:6" x14ac:dyDescent="0.25">
      <c r="A878" s="9" t="s">
        <v>1129</v>
      </c>
      <c r="B878" s="9" t="s">
        <v>1105</v>
      </c>
      <c r="C878" s="9" t="s">
        <v>1125</v>
      </c>
      <c r="D878" s="10">
        <v>44721</v>
      </c>
      <c r="E878" s="16">
        <v>10.324999999999999</v>
      </c>
      <c r="F878" s="11">
        <v>147</v>
      </c>
    </row>
    <row r="879" spans="1:6" x14ac:dyDescent="0.25">
      <c r="A879" s="9" t="s">
        <v>1143</v>
      </c>
      <c r="B879" s="9" t="s">
        <v>1105</v>
      </c>
      <c r="C879" s="9" t="s">
        <v>1125</v>
      </c>
      <c r="D879" s="10">
        <v>44697</v>
      </c>
      <c r="E879" s="16">
        <v>2.149</v>
      </c>
      <c r="F879" s="11">
        <v>84</v>
      </c>
    </row>
    <row r="880" spans="1:6" x14ac:dyDescent="0.25">
      <c r="A880" s="9" t="s">
        <v>1107</v>
      </c>
      <c r="B880" s="9" t="s">
        <v>1102</v>
      </c>
      <c r="C880" s="9" t="s">
        <v>1106</v>
      </c>
      <c r="D880" s="10">
        <v>44735</v>
      </c>
      <c r="E880" s="16">
        <v>12.362</v>
      </c>
      <c r="F880" s="11">
        <v>94</v>
      </c>
    </row>
    <row r="881" spans="1:6" x14ac:dyDescent="0.25">
      <c r="A881" s="9" t="s">
        <v>1131</v>
      </c>
      <c r="B881" s="9" t="s">
        <v>1102</v>
      </c>
      <c r="C881" s="9" t="s">
        <v>1146</v>
      </c>
      <c r="D881" s="10">
        <v>44589</v>
      </c>
      <c r="E881" s="16">
        <v>12.635</v>
      </c>
      <c r="F881" s="11">
        <v>194</v>
      </c>
    </row>
    <row r="882" spans="1:6" x14ac:dyDescent="0.25">
      <c r="A882" s="9" t="s">
        <v>1149</v>
      </c>
      <c r="B882" s="9" t="s">
        <v>1102</v>
      </c>
      <c r="C882" s="9" t="s">
        <v>1103</v>
      </c>
      <c r="D882" s="10">
        <v>44756</v>
      </c>
      <c r="E882" s="16">
        <v>2.4430000000000001</v>
      </c>
      <c r="F882" s="11">
        <v>216</v>
      </c>
    </row>
    <row r="883" spans="1:6" x14ac:dyDescent="0.25">
      <c r="A883" s="9" t="s">
        <v>1120</v>
      </c>
      <c r="B883" s="9" t="s">
        <v>1124</v>
      </c>
      <c r="C883" s="9" t="s">
        <v>1127</v>
      </c>
      <c r="D883" s="10">
        <v>44669</v>
      </c>
      <c r="E883" s="16">
        <v>6.2370000000000001</v>
      </c>
      <c r="F883" s="11">
        <v>247</v>
      </c>
    </row>
    <row r="884" spans="1:6" x14ac:dyDescent="0.25">
      <c r="A884" s="9" t="s">
        <v>1112</v>
      </c>
      <c r="B884" s="9" t="s">
        <v>1121</v>
      </c>
      <c r="C884" s="9" t="s">
        <v>1132</v>
      </c>
      <c r="D884" s="10">
        <v>44726</v>
      </c>
      <c r="E884" s="16">
        <v>1.736</v>
      </c>
      <c r="F884" s="11">
        <v>79</v>
      </c>
    </row>
    <row r="885" spans="1:6" x14ac:dyDescent="0.25">
      <c r="A885" s="9" t="s">
        <v>1112</v>
      </c>
      <c r="B885" s="9" t="s">
        <v>1102</v>
      </c>
      <c r="C885" s="9" t="s">
        <v>1122</v>
      </c>
      <c r="D885" s="10">
        <v>44666</v>
      </c>
      <c r="E885" s="16">
        <v>7.3150000000000004</v>
      </c>
      <c r="F885" s="11">
        <v>237</v>
      </c>
    </row>
    <row r="886" spans="1:6" x14ac:dyDescent="0.25">
      <c r="A886" s="9" t="s">
        <v>1133</v>
      </c>
      <c r="B886" s="9" t="s">
        <v>1124</v>
      </c>
      <c r="C886" s="9" t="s">
        <v>1108</v>
      </c>
      <c r="D886" s="10">
        <v>44700</v>
      </c>
      <c r="E886" s="16">
        <v>4.9349999999999996</v>
      </c>
      <c r="F886" s="11">
        <v>63</v>
      </c>
    </row>
    <row r="887" spans="1:6" x14ac:dyDescent="0.25">
      <c r="A887" s="9" t="s">
        <v>1107</v>
      </c>
      <c r="B887" s="9" t="s">
        <v>1105</v>
      </c>
      <c r="C887" s="9" t="s">
        <v>1139</v>
      </c>
      <c r="D887" s="10">
        <v>44664</v>
      </c>
      <c r="E887" s="16">
        <v>1.393</v>
      </c>
      <c r="F887" s="11">
        <v>172</v>
      </c>
    </row>
    <row r="888" spans="1:6" x14ac:dyDescent="0.25">
      <c r="A888" s="9" t="s">
        <v>1135</v>
      </c>
      <c r="B888" s="9" t="s">
        <v>1124</v>
      </c>
      <c r="C888" s="9" t="s">
        <v>1147</v>
      </c>
      <c r="D888" s="10">
        <v>44788</v>
      </c>
      <c r="E888" s="16">
        <v>3.3809999999999998</v>
      </c>
      <c r="F888" s="11">
        <v>408</v>
      </c>
    </row>
    <row r="889" spans="1:6" x14ac:dyDescent="0.25">
      <c r="A889" s="9" t="s">
        <v>1141</v>
      </c>
      <c r="B889" s="9" t="s">
        <v>1105</v>
      </c>
      <c r="C889" s="9" t="s">
        <v>1147</v>
      </c>
      <c r="D889" s="10">
        <v>44795</v>
      </c>
      <c r="E889" s="16">
        <v>2.9329999999999998</v>
      </c>
      <c r="F889" s="11">
        <v>233</v>
      </c>
    </row>
    <row r="890" spans="1:6" x14ac:dyDescent="0.25">
      <c r="A890" s="9" t="s">
        <v>1141</v>
      </c>
      <c r="B890" s="9" t="s">
        <v>1116</v>
      </c>
      <c r="C890" s="9" t="s">
        <v>1151</v>
      </c>
      <c r="D890" s="10">
        <v>44673</v>
      </c>
      <c r="E890" s="16">
        <v>3.8359999999999999</v>
      </c>
      <c r="F890" s="11">
        <v>59</v>
      </c>
    </row>
    <row r="891" spans="1:6" x14ac:dyDescent="0.25">
      <c r="A891" s="9" t="s">
        <v>1136</v>
      </c>
      <c r="B891" s="9" t="s">
        <v>1102</v>
      </c>
      <c r="C891" s="9" t="s">
        <v>1147</v>
      </c>
      <c r="D891" s="10">
        <v>44776</v>
      </c>
      <c r="E891" s="16">
        <v>8.0220000000000002</v>
      </c>
      <c r="F891" s="11">
        <v>123</v>
      </c>
    </row>
    <row r="892" spans="1:6" x14ac:dyDescent="0.25">
      <c r="A892" s="9" t="s">
        <v>1138</v>
      </c>
      <c r="B892" s="9" t="s">
        <v>1116</v>
      </c>
      <c r="C892" s="9" t="s">
        <v>1130</v>
      </c>
      <c r="D892" s="10">
        <v>44565</v>
      </c>
      <c r="E892" s="16">
        <v>371</v>
      </c>
      <c r="F892" s="11">
        <v>229</v>
      </c>
    </row>
    <row r="893" spans="1:6" x14ac:dyDescent="0.25">
      <c r="A893" s="9" t="s">
        <v>1144</v>
      </c>
      <c r="B893" s="9" t="s">
        <v>1124</v>
      </c>
      <c r="C893" s="9" t="s">
        <v>1115</v>
      </c>
      <c r="D893" s="10">
        <v>44574</v>
      </c>
      <c r="E893" s="16">
        <v>16.702000000000002</v>
      </c>
      <c r="F893" s="11">
        <v>198</v>
      </c>
    </row>
    <row r="894" spans="1:6" x14ac:dyDescent="0.25">
      <c r="A894" s="9" t="s">
        <v>1104</v>
      </c>
      <c r="B894" s="9" t="s">
        <v>1110</v>
      </c>
      <c r="C894" s="9" t="s">
        <v>1151</v>
      </c>
      <c r="D894" s="10">
        <v>44692</v>
      </c>
      <c r="E894" s="16">
        <v>13.257999999999999</v>
      </c>
      <c r="F894" s="11">
        <v>32</v>
      </c>
    </row>
    <row r="895" spans="1:6" x14ac:dyDescent="0.25">
      <c r="A895" s="9" t="s">
        <v>1135</v>
      </c>
      <c r="B895" s="9" t="s">
        <v>1116</v>
      </c>
      <c r="C895" s="9" t="s">
        <v>1108</v>
      </c>
      <c r="D895" s="10">
        <v>44608</v>
      </c>
      <c r="E895" s="16">
        <v>2.0579999999999998</v>
      </c>
      <c r="F895" s="11">
        <v>236</v>
      </c>
    </row>
    <row r="896" spans="1:6" x14ac:dyDescent="0.25">
      <c r="A896" s="9" t="s">
        <v>1136</v>
      </c>
      <c r="B896" s="9" t="s">
        <v>1102</v>
      </c>
      <c r="C896" s="9" t="s">
        <v>1152</v>
      </c>
      <c r="D896" s="10">
        <v>44701</v>
      </c>
      <c r="E896" s="16">
        <v>10.192</v>
      </c>
      <c r="F896" s="11">
        <v>67</v>
      </c>
    </row>
    <row r="897" spans="1:6" x14ac:dyDescent="0.25">
      <c r="A897" s="9" t="s">
        <v>1101</v>
      </c>
      <c r="B897" s="9" t="s">
        <v>1102</v>
      </c>
      <c r="C897" s="9" t="s">
        <v>1127</v>
      </c>
      <c r="D897" s="10">
        <v>44595</v>
      </c>
      <c r="E897" s="16">
        <v>7.14</v>
      </c>
      <c r="F897" s="11">
        <v>438</v>
      </c>
    </row>
    <row r="898" spans="1:6" x14ac:dyDescent="0.25">
      <c r="A898" s="9" t="s">
        <v>1129</v>
      </c>
      <c r="B898" s="9" t="s">
        <v>1105</v>
      </c>
      <c r="C898" s="9" t="s">
        <v>1140</v>
      </c>
      <c r="D898" s="10">
        <v>44687</v>
      </c>
      <c r="E898" s="16">
        <v>9.8350000000000009</v>
      </c>
      <c r="F898" s="11">
        <v>167</v>
      </c>
    </row>
    <row r="899" spans="1:6" x14ac:dyDescent="0.25">
      <c r="A899" s="9" t="s">
        <v>1114</v>
      </c>
      <c r="B899" s="9" t="s">
        <v>1102</v>
      </c>
      <c r="C899" s="9" t="s">
        <v>1147</v>
      </c>
      <c r="D899" s="10">
        <v>44742</v>
      </c>
      <c r="E899" s="16">
        <v>5.7750000000000004</v>
      </c>
      <c r="F899" s="11">
        <v>135</v>
      </c>
    </row>
    <row r="900" spans="1:6" x14ac:dyDescent="0.25">
      <c r="A900" s="9" t="s">
        <v>1114</v>
      </c>
      <c r="B900" s="9" t="s">
        <v>1102</v>
      </c>
      <c r="C900" s="9" t="s">
        <v>1111</v>
      </c>
      <c r="D900" s="10">
        <v>44642</v>
      </c>
      <c r="E900" s="16">
        <v>749</v>
      </c>
      <c r="F900" s="11">
        <v>148</v>
      </c>
    </row>
    <row r="901" spans="1:6" x14ac:dyDescent="0.25">
      <c r="A901" s="9" t="s">
        <v>1145</v>
      </c>
      <c r="B901" s="9" t="s">
        <v>1124</v>
      </c>
      <c r="C901" s="9" t="s">
        <v>1122</v>
      </c>
      <c r="D901" s="10">
        <v>44609</v>
      </c>
      <c r="E901" s="16">
        <v>7.77</v>
      </c>
      <c r="F901" s="11">
        <v>54</v>
      </c>
    </row>
    <row r="902" spans="1:6" x14ac:dyDescent="0.25">
      <c r="A902" s="9" t="s">
        <v>1101</v>
      </c>
      <c r="B902" s="9" t="s">
        <v>1102</v>
      </c>
      <c r="C902" s="9" t="s">
        <v>1106</v>
      </c>
      <c r="D902" s="10">
        <v>44749</v>
      </c>
      <c r="E902" s="16">
        <v>5.5019999999999998</v>
      </c>
      <c r="F902" s="11">
        <v>64</v>
      </c>
    </row>
    <row r="903" spans="1:6" x14ac:dyDescent="0.25">
      <c r="A903" s="9" t="s">
        <v>1112</v>
      </c>
      <c r="B903" s="9" t="s">
        <v>1102</v>
      </c>
      <c r="C903" s="9" t="s">
        <v>1153</v>
      </c>
      <c r="D903" s="10">
        <v>44636</v>
      </c>
      <c r="E903" s="16">
        <v>6.2229999999999999</v>
      </c>
      <c r="F903" s="11">
        <v>181</v>
      </c>
    </row>
    <row r="904" spans="1:6" x14ac:dyDescent="0.25">
      <c r="A904" s="9" t="s">
        <v>1144</v>
      </c>
      <c r="B904" s="9" t="s">
        <v>1102</v>
      </c>
      <c r="C904" s="9" t="s">
        <v>1113</v>
      </c>
      <c r="D904" s="10">
        <v>44785</v>
      </c>
      <c r="E904" s="16">
        <v>3.5070000000000001</v>
      </c>
      <c r="F904" s="11">
        <v>114</v>
      </c>
    </row>
    <row r="905" spans="1:6" x14ac:dyDescent="0.25">
      <c r="A905" s="9" t="s">
        <v>1107</v>
      </c>
      <c r="B905" s="9" t="s">
        <v>1116</v>
      </c>
      <c r="C905" s="9" t="s">
        <v>1115</v>
      </c>
      <c r="D905" s="10">
        <v>44582</v>
      </c>
      <c r="E905" s="16">
        <v>5.6</v>
      </c>
      <c r="F905" s="11">
        <v>181</v>
      </c>
    </row>
    <row r="906" spans="1:6" x14ac:dyDescent="0.25">
      <c r="A906" s="9" t="s">
        <v>1112</v>
      </c>
      <c r="B906" s="9" t="s">
        <v>1110</v>
      </c>
      <c r="C906" s="9" t="s">
        <v>1117</v>
      </c>
      <c r="D906" s="10">
        <v>44687</v>
      </c>
      <c r="E906" s="16">
        <v>721</v>
      </c>
      <c r="F906" s="11">
        <v>151</v>
      </c>
    </row>
    <row r="907" spans="1:6" x14ac:dyDescent="0.25">
      <c r="A907" s="9" t="s">
        <v>1112</v>
      </c>
      <c r="B907" s="9" t="s">
        <v>1124</v>
      </c>
      <c r="C907" s="9" t="s">
        <v>1117</v>
      </c>
      <c r="D907" s="10">
        <v>44736</v>
      </c>
      <c r="E907" s="16">
        <v>6.6150000000000002</v>
      </c>
      <c r="F907" s="11">
        <v>137</v>
      </c>
    </row>
    <row r="908" spans="1:6" x14ac:dyDescent="0.25">
      <c r="A908" s="9" t="s">
        <v>1120</v>
      </c>
      <c r="B908" s="9" t="s">
        <v>1121</v>
      </c>
      <c r="C908" s="9" t="s">
        <v>1139</v>
      </c>
      <c r="D908" s="10">
        <v>44686</v>
      </c>
      <c r="E908" s="16">
        <v>7.42</v>
      </c>
      <c r="F908" s="11">
        <v>163</v>
      </c>
    </row>
    <row r="909" spans="1:6" x14ac:dyDescent="0.25">
      <c r="A909" s="9" t="s">
        <v>1119</v>
      </c>
      <c r="B909" s="9" t="s">
        <v>1116</v>
      </c>
      <c r="C909" s="9" t="s">
        <v>1113</v>
      </c>
      <c r="D909" s="10">
        <v>44645</v>
      </c>
      <c r="E909" s="16">
        <v>3.1640000000000001</v>
      </c>
      <c r="F909" s="11">
        <v>84</v>
      </c>
    </row>
    <row r="910" spans="1:6" x14ac:dyDescent="0.25">
      <c r="A910" s="9" t="s">
        <v>1133</v>
      </c>
      <c r="B910" s="9" t="s">
        <v>1110</v>
      </c>
      <c r="C910" s="9" t="s">
        <v>1152</v>
      </c>
      <c r="D910" s="10">
        <v>44606</v>
      </c>
      <c r="E910" s="16">
        <v>9.1140000000000008</v>
      </c>
      <c r="F910" s="11">
        <v>140</v>
      </c>
    </row>
    <row r="911" spans="1:6" x14ac:dyDescent="0.25">
      <c r="A911" s="9" t="s">
        <v>1133</v>
      </c>
      <c r="B911" s="9" t="s">
        <v>1116</v>
      </c>
      <c r="C911" s="9" t="s">
        <v>1106</v>
      </c>
      <c r="D911" s="10">
        <v>44693</v>
      </c>
      <c r="E911" s="16">
        <v>5.4039999999999999</v>
      </c>
      <c r="F911" s="11">
        <v>187</v>
      </c>
    </row>
    <row r="912" spans="1:6" x14ac:dyDescent="0.25">
      <c r="A912" s="9" t="s">
        <v>1120</v>
      </c>
      <c r="B912" s="9" t="s">
        <v>1116</v>
      </c>
      <c r="C912" s="9" t="s">
        <v>1111</v>
      </c>
      <c r="D912" s="10">
        <v>44586</v>
      </c>
      <c r="E912" s="16">
        <v>3.99</v>
      </c>
      <c r="F912" s="11">
        <v>169</v>
      </c>
    </row>
    <row r="913" spans="1:6" x14ac:dyDescent="0.25">
      <c r="A913" s="9" t="s">
        <v>1150</v>
      </c>
      <c r="B913" s="9" t="s">
        <v>1102</v>
      </c>
      <c r="C913" s="9" t="s">
        <v>1106</v>
      </c>
      <c r="D913" s="10">
        <v>44740</v>
      </c>
      <c r="E913" s="16">
        <v>14.923999999999999</v>
      </c>
      <c r="F913" s="11">
        <v>12</v>
      </c>
    </row>
    <row r="914" spans="1:6" x14ac:dyDescent="0.25">
      <c r="A914" s="9" t="s">
        <v>1138</v>
      </c>
      <c r="B914" s="9" t="s">
        <v>1110</v>
      </c>
      <c r="C914" s="9" t="s">
        <v>1127</v>
      </c>
      <c r="D914" s="10">
        <v>44755</v>
      </c>
      <c r="E914" s="16">
        <v>7.0910000000000002</v>
      </c>
      <c r="F914" s="11">
        <v>194</v>
      </c>
    </row>
    <row r="915" spans="1:6" x14ac:dyDescent="0.25">
      <c r="A915" s="9" t="s">
        <v>1131</v>
      </c>
      <c r="B915" s="9" t="s">
        <v>1121</v>
      </c>
      <c r="C915" s="9" t="s">
        <v>1132</v>
      </c>
      <c r="D915" s="10">
        <v>44697</v>
      </c>
      <c r="E915" s="16">
        <v>2.8069999999999999</v>
      </c>
      <c r="F915" s="11">
        <v>252</v>
      </c>
    </row>
    <row r="916" spans="1:6" x14ac:dyDescent="0.25">
      <c r="A916" s="9" t="s">
        <v>1109</v>
      </c>
      <c r="B916" s="9" t="s">
        <v>1105</v>
      </c>
      <c r="C916" s="9" t="s">
        <v>1115</v>
      </c>
      <c r="D916" s="10">
        <v>44634</v>
      </c>
      <c r="E916" s="16">
        <v>6.4960000000000004</v>
      </c>
      <c r="F916" s="11">
        <v>168</v>
      </c>
    </row>
    <row r="917" spans="1:6" x14ac:dyDescent="0.25">
      <c r="A917" s="9" t="s">
        <v>1114</v>
      </c>
      <c r="B917" s="9" t="s">
        <v>1121</v>
      </c>
      <c r="C917" s="9" t="s">
        <v>1115</v>
      </c>
      <c r="D917" s="10">
        <v>44788</v>
      </c>
      <c r="E917" s="16">
        <v>3.738</v>
      </c>
      <c r="F917" s="11">
        <v>261</v>
      </c>
    </row>
    <row r="918" spans="1:6" x14ac:dyDescent="0.25">
      <c r="A918" s="9" t="s">
        <v>1150</v>
      </c>
      <c r="B918" s="9" t="s">
        <v>1105</v>
      </c>
      <c r="C918" s="9" t="s">
        <v>1122</v>
      </c>
      <c r="D918" s="10">
        <v>44608</v>
      </c>
      <c r="E918" s="16">
        <v>1.19</v>
      </c>
      <c r="F918" s="11">
        <v>256</v>
      </c>
    </row>
    <row r="919" spans="1:6" x14ac:dyDescent="0.25">
      <c r="A919" s="9" t="s">
        <v>1123</v>
      </c>
      <c r="B919" s="9" t="s">
        <v>1102</v>
      </c>
      <c r="C919" s="9" t="s">
        <v>1140</v>
      </c>
      <c r="D919" s="10">
        <v>44727</v>
      </c>
      <c r="E919" s="16">
        <v>8.3789999999999996</v>
      </c>
      <c r="F919" s="11">
        <v>43</v>
      </c>
    </row>
    <row r="920" spans="1:6" x14ac:dyDescent="0.25">
      <c r="A920" s="9" t="s">
        <v>1120</v>
      </c>
      <c r="B920" s="9" t="s">
        <v>1110</v>
      </c>
      <c r="C920" s="9" t="s">
        <v>1146</v>
      </c>
      <c r="D920" s="10">
        <v>44708</v>
      </c>
      <c r="E920" s="16">
        <v>9.2680000000000007</v>
      </c>
      <c r="F920" s="11">
        <v>100</v>
      </c>
    </row>
    <row r="921" spans="1:6" x14ac:dyDescent="0.25">
      <c r="A921" s="9" t="s">
        <v>1141</v>
      </c>
      <c r="B921" s="9" t="s">
        <v>1121</v>
      </c>
      <c r="C921" s="9" t="s">
        <v>1127</v>
      </c>
      <c r="D921" s="10">
        <v>44726</v>
      </c>
      <c r="E921" s="16">
        <v>1.0289999999999999</v>
      </c>
      <c r="F921" s="11">
        <v>98</v>
      </c>
    </row>
    <row r="922" spans="1:6" x14ac:dyDescent="0.25">
      <c r="A922" s="9" t="s">
        <v>1141</v>
      </c>
      <c r="B922" s="9" t="s">
        <v>1105</v>
      </c>
      <c r="C922" s="9" t="s">
        <v>1125</v>
      </c>
      <c r="D922" s="10">
        <v>44617</v>
      </c>
      <c r="E922" s="16">
        <v>3.5489999999999999</v>
      </c>
      <c r="F922" s="11">
        <v>76</v>
      </c>
    </row>
    <row r="923" spans="1:6" x14ac:dyDescent="0.25">
      <c r="A923" s="9" t="s">
        <v>1141</v>
      </c>
      <c r="B923" s="9" t="s">
        <v>1105</v>
      </c>
      <c r="C923" s="9" t="s">
        <v>1115</v>
      </c>
      <c r="D923" s="10">
        <v>44777</v>
      </c>
      <c r="E923" s="16">
        <v>12.026</v>
      </c>
      <c r="F923" s="11">
        <v>262</v>
      </c>
    </row>
    <row r="924" spans="1:6" x14ac:dyDescent="0.25">
      <c r="A924" s="9" t="s">
        <v>1144</v>
      </c>
      <c r="B924" s="9" t="s">
        <v>1105</v>
      </c>
      <c r="C924" s="9" t="s">
        <v>1113</v>
      </c>
      <c r="D924" s="10">
        <v>44740</v>
      </c>
      <c r="E924" s="16">
        <v>2.3029999999999999</v>
      </c>
      <c r="F924" s="11">
        <v>244</v>
      </c>
    </row>
    <row r="925" spans="1:6" x14ac:dyDescent="0.25">
      <c r="A925" s="9" t="s">
        <v>1114</v>
      </c>
      <c r="B925" s="9" t="s">
        <v>1124</v>
      </c>
      <c r="C925" s="9" t="s">
        <v>1134</v>
      </c>
      <c r="D925" s="10">
        <v>44656</v>
      </c>
      <c r="E925" s="16">
        <v>13.404999999999999</v>
      </c>
      <c r="F925" s="11">
        <v>12</v>
      </c>
    </row>
    <row r="926" spans="1:6" x14ac:dyDescent="0.25">
      <c r="A926" s="9" t="s">
        <v>1148</v>
      </c>
      <c r="B926" s="9" t="s">
        <v>1124</v>
      </c>
      <c r="C926" s="9" t="s">
        <v>1108</v>
      </c>
      <c r="D926" s="10">
        <v>44747</v>
      </c>
      <c r="E926" s="16">
        <v>14.763</v>
      </c>
      <c r="F926" s="11">
        <v>113</v>
      </c>
    </row>
    <row r="927" spans="1:6" x14ac:dyDescent="0.25">
      <c r="A927" s="9" t="s">
        <v>1136</v>
      </c>
      <c r="B927" s="9" t="s">
        <v>1116</v>
      </c>
      <c r="C927" s="9" t="s">
        <v>1125</v>
      </c>
      <c r="D927" s="10">
        <v>44581</v>
      </c>
      <c r="E927" s="16">
        <v>12.894</v>
      </c>
      <c r="F927" s="11">
        <v>48</v>
      </c>
    </row>
    <row r="928" spans="1:6" x14ac:dyDescent="0.25">
      <c r="A928" s="9" t="s">
        <v>1150</v>
      </c>
      <c r="B928" s="9" t="s">
        <v>1116</v>
      </c>
      <c r="C928" s="9" t="s">
        <v>1127</v>
      </c>
      <c r="D928" s="10">
        <v>44608</v>
      </c>
      <c r="E928" s="16">
        <v>8.3019999999999996</v>
      </c>
      <c r="F928" s="11">
        <v>131</v>
      </c>
    </row>
    <row r="929" spans="1:6" x14ac:dyDescent="0.25">
      <c r="A929" s="9" t="s">
        <v>1133</v>
      </c>
      <c r="B929" s="9" t="s">
        <v>1102</v>
      </c>
      <c r="C929" s="9" t="s">
        <v>1127</v>
      </c>
      <c r="D929" s="10">
        <v>44754</v>
      </c>
      <c r="E929" s="16">
        <v>455</v>
      </c>
      <c r="F929" s="11">
        <v>174</v>
      </c>
    </row>
    <row r="930" spans="1:6" x14ac:dyDescent="0.25">
      <c r="A930" s="9" t="s">
        <v>1144</v>
      </c>
      <c r="B930" s="9" t="s">
        <v>1105</v>
      </c>
      <c r="C930" s="9" t="s">
        <v>1146</v>
      </c>
      <c r="D930" s="10">
        <v>44728</v>
      </c>
      <c r="E930" s="16">
        <v>8.1829999999999998</v>
      </c>
      <c r="F930" s="11">
        <v>254</v>
      </c>
    </row>
    <row r="931" spans="1:6" x14ac:dyDescent="0.25">
      <c r="A931" s="9" t="s">
        <v>1149</v>
      </c>
      <c r="B931" s="9" t="s">
        <v>1110</v>
      </c>
      <c r="C931" s="9" t="s">
        <v>1147</v>
      </c>
      <c r="D931" s="10">
        <v>44664</v>
      </c>
      <c r="E931" s="16">
        <v>1.645</v>
      </c>
      <c r="F931" s="11">
        <v>284</v>
      </c>
    </row>
    <row r="932" spans="1:6" x14ac:dyDescent="0.25">
      <c r="A932" s="9" t="s">
        <v>1136</v>
      </c>
      <c r="B932" s="9" t="s">
        <v>1102</v>
      </c>
      <c r="C932" s="9" t="s">
        <v>1117</v>
      </c>
      <c r="D932" s="10">
        <v>44613</v>
      </c>
      <c r="E932" s="16">
        <v>3.1429999999999998</v>
      </c>
      <c r="F932" s="11">
        <v>67</v>
      </c>
    </row>
    <row r="933" spans="1:6" x14ac:dyDescent="0.25">
      <c r="A933" s="9" t="s">
        <v>1131</v>
      </c>
      <c r="B933" s="9" t="s">
        <v>1124</v>
      </c>
      <c r="C933" s="9" t="s">
        <v>1147</v>
      </c>
      <c r="D933" s="10">
        <v>44692</v>
      </c>
      <c r="E933" s="16">
        <v>5.8730000000000002</v>
      </c>
      <c r="F933" s="11">
        <v>249</v>
      </c>
    </row>
    <row r="934" spans="1:6" x14ac:dyDescent="0.25">
      <c r="A934" s="9" t="s">
        <v>1150</v>
      </c>
      <c r="B934" s="9" t="s">
        <v>1105</v>
      </c>
      <c r="C934" s="9" t="s">
        <v>1117</v>
      </c>
      <c r="D934" s="10">
        <v>44666</v>
      </c>
      <c r="E934" s="16">
        <v>11.298</v>
      </c>
      <c r="F934" s="11">
        <v>313</v>
      </c>
    </row>
    <row r="935" spans="1:6" x14ac:dyDescent="0.25">
      <c r="A935" s="9" t="s">
        <v>1112</v>
      </c>
      <c r="B935" s="9" t="s">
        <v>1124</v>
      </c>
      <c r="C935" s="9" t="s">
        <v>1108</v>
      </c>
      <c r="D935" s="10">
        <v>44719</v>
      </c>
      <c r="E935" s="16">
        <v>12.425000000000001</v>
      </c>
      <c r="F935" s="11">
        <v>167</v>
      </c>
    </row>
    <row r="936" spans="1:6" x14ac:dyDescent="0.25">
      <c r="A936" s="9" t="s">
        <v>1112</v>
      </c>
      <c r="B936" s="9" t="s">
        <v>1102</v>
      </c>
      <c r="C936" s="9" t="s">
        <v>1139</v>
      </c>
      <c r="D936" s="10">
        <v>44739</v>
      </c>
      <c r="E936" s="16">
        <v>1.7150000000000001</v>
      </c>
      <c r="F936" s="11">
        <v>286</v>
      </c>
    </row>
    <row r="937" spans="1:6" x14ac:dyDescent="0.25">
      <c r="A937" s="9" t="s">
        <v>1120</v>
      </c>
      <c r="B937" s="9" t="s">
        <v>1105</v>
      </c>
      <c r="C937" s="9" t="s">
        <v>1115</v>
      </c>
      <c r="D937" s="10">
        <v>44771</v>
      </c>
      <c r="E937" s="16">
        <v>8.19</v>
      </c>
      <c r="F937" s="11">
        <v>109</v>
      </c>
    </row>
    <row r="938" spans="1:6" x14ac:dyDescent="0.25">
      <c r="A938" s="9" t="s">
        <v>1141</v>
      </c>
      <c r="B938" s="9" t="s">
        <v>1124</v>
      </c>
      <c r="C938" s="9" t="s">
        <v>1111</v>
      </c>
      <c r="D938" s="10">
        <v>44714</v>
      </c>
      <c r="E938" s="16">
        <v>4.9909999999999997</v>
      </c>
      <c r="F938" s="11">
        <v>166</v>
      </c>
    </row>
    <row r="939" spans="1:6" x14ac:dyDescent="0.25">
      <c r="A939" s="9" t="s">
        <v>1119</v>
      </c>
      <c r="B939" s="9" t="s">
        <v>1105</v>
      </c>
      <c r="C939" s="9" t="s">
        <v>1103</v>
      </c>
      <c r="D939" s="10">
        <v>44587</v>
      </c>
      <c r="E939" s="16">
        <v>15.491</v>
      </c>
      <c r="F939" s="11">
        <v>85</v>
      </c>
    </row>
    <row r="940" spans="1:6" x14ac:dyDescent="0.25">
      <c r="A940" s="9" t="s">
        <v>1119</v>
      </c>
      <c r="B940" s="9" t="s">
        <v>1124</v>
      </c>
      <c r="C940" s="9" t="s">
        <v>1113</v>
      </c>
      <c r="D940" s="10">
        <v>44622</v>
      </c>
      <c r="E940" s="16">
        <v>5.0960000000000001</v>
      </c>
      <c r="F940" s="11">
        <v>142</v>
      </c>
    </row>
    <row r="941" spans="1:6" x14ac:dyDescent="0.25">
      <c r="A941" s="9" t="s">
        <v>1104</v>
      </c>
      <c r="B941" s="9" t="s">
        <v>1110</v>
      </c>
      <c r="C941" s="9" t="s">
        <v>1153</v>
      </c>
      <c r="D941" s="10">
        <v>44571</v>
      </c>
      <c r="E941" s="16">
        <v>7.0629999999999997</v>
      </c>
      <c r="F941" s="11">
        <v>104</v>
      </c>
    </row>
    <row r="942" spans="1:6" x14ac:dyDescent="0.25">
      <c r="A942" s="9" t="s">
        <v>1129</v>
      </c>
      <c r="B942" s="9" t="s">
        <v>1121</v>
      </c>
      <c r="C942" s="9" t="s">
        <v>1153</v>
      </c>
      <c r="D942" s="10">
        <v>44739</v>
      </c>
      <c r="E942" s="16">
        <v>2.2749999999999999</v>
      </c>
      <c r="F942" s="11">
        <v>115</v>
      </c>
    </row>
    <row r="943" spans="1:6" x14ac:dyDescent="0.25">
      <c r="A943" s="9" t="s">
        <v>1120</v>
      </c>
      <c r="B943" s="9" t="s">
        <v>1124</v>
      </c>
      <c r="C943" s="9" t="s">
        <v>1122</v>
      </c>
      <c r="D943" s="10">
        <v>44742</v>
      </c>
      <c r="E943" s="16">
        <v>7.6020000000000003</v>
      </c>
      <c r="F943" s="11">
        <v>18</v>
      </c>
    </row>
    <row r="944" spans="1:6" x14ac:dyDescent="0.25">
      <c r="A944" s="9" t="s">
        <v>1131</v>
      </c>
      <c r="B944" s="9" t="s">
        <v>1110</v>
      </c>
      <c r="C944" s="9" t="s">
        <v>1106</v>
      </c>
      <c r="D944" s="10">
        <v>44750</v>
      </c>
      <c r="E944" s="16">
        <v>4.2</v>
      </c>
      <c r="F944" s="11">
        <v>80</v>
      </c>
    </row>
    <row r="945" spans="1:6" x14ac:dyDescent="0.25">
      <c r="A945" s="9" t="s">
        <v>1112</v>
      </c>
      <c r="B945" s="9" t="s">
        <v>1105</v>
      </c>
      <c r="C945" s="9" t="s">
        <v>1134</v>
      </c>
      <c r="D945" s="10">
        <v>44720</v>
      </c>
      <c r="E945" s="16">
        <v>11.137</v>
      </c>
      <c r="F945" s="11">
        <v>88</v>
      </c>
    </row>
    <row r="946" spans="1:6" x14ac:dyDescent="0.25">
      <c r="A946" s="9" t="s">
        <v>1109</v>
      </c>
      <c r="B946" s="9" t="s">
        <v>1102</v>
      </c>
      <c r="C946" s="9" t="s">
        <v>1140</v>
      </c>
      <c r="D946" s="10">
        <v>44791</v>
      </c>
      <c r="E946" s="16">
        <v>3.3879999999999999</v>
      </c>
      <c r="F946" s="11">
        <v>212</v>
      </c>
    </row>
    <row r="947" spans="1:6" x14ac:dyDescent="0.25">
      <c r="A947" s="9" t="s">
        <v>1136</v>
      </c>
      <c r="B947" s="9" t="s">
        <v>1110</v>
      </c>
      <c r="C947" s="9" t="s">
        <v>1115</v>
      </c>
      <c r="D947" s="10">
        <v>44659</v>
      </c>
      <c r="E947" s="16">
        <v>6.8319999999999999</v>
      </c>
      <c r="F947" s="11">
        <v>306</v>
      </c>
    </row>
    <row r="948" spans="1:6" x14ac:dyDescent="0.25">
      <c r="A948" s="9" t="s">
        <v>1141</v>
      </c>
      <c r="B948" s="9" t="s">
        <v>1124</v>
      </c>
      <c r="C948" s="9" t="s">
        <v>1137</v>
      </c>
      <c r="D948" s="10">
        <v>44781</v>
      </c>
      <c r="E948" s="16">
        <v>3.4369999999999998</v>
      </c>
      <c r="F948" s="11">
        <v>181</v>
      </c>
    </row>
    <row r="949" spans="1:6" x14ac:dyDescent="0.25">
      <c r="A949" s="9" t="s">
        <v>1141</v>
      </c>
      <c r="B949" s="9" t="s">
        <v>1102</v>
      </c>
      <c r="C949" s="9" t="s">
        <v>1132</v>
      </c>
      <c r="D949" s="10">
        <v>44799</v>
      </c>
      <c r="E949" s="16">
        <v>301</v>
      </c>
      <c r="F949" s="11">
        <v>65</v>
      </c>
    </row>
    <row r="950" spans="1:6" x14ac:dyDescent="0.25">
      <c r="A950" s="9" t="s">
        <v>1112</v>
      </c>
      <c r="B950" s="9" t="s">
        <v>1124</v>
      </c>
      <c r="C950" s="9" t="s">
        <v>1137</v>
      </c>
      <c r="D950" s="10">
        <v>44575</v>
      </c>
      <c r="E950" s="16">
        <v>1.869</v>
      </c>
      <c r="F950" s="11">
        <v>158</v>
      </c>
    </row>
    <row r="951" spans="1:6" x14ac:dyDescent="0.25">
      <c r="A951" s="9" t="s">
        <v>1138</v>
      </c>
      <c r="B951" s="9" t="s">
        <v>1121</v>
      </c>
      <c r="C951" s="9" t="s">
        <v>1151</v>
      </c>
      <c r="D951" s="10">
        <v>44784</v>
      </c>
      <c r="E951" s="16">
        <v>17.465</v>
      </c>
      <c r="F951" s="11">
        <v>271</v>
      </c>
    </row>
    <row r="952" spans="1:6" x14ac:dyDescent="0.25">
      <c r="A952" s="9" t="s">
        <v>1148</v>
      </c>
      <c r="B952" s="9" t="s">
        <v>1121</v>
      </c>
      <c r="C952" s="9" t="s">
        <v>1142</v>
      </c>
      <c r="D952" s="10">
        <v>44712</v>
      </c>
      <c r="E952" s="16">
        <v>10.143000000000001</v>
      </c>
      <c r="F952" s="11">
        <v>24</v>
      </c>
    </row>
    <row r="953" spans="1:6" x14ac:dyDescent="0.25">
      <c r="A953" s="9" t="s">
        <v>1104</v>
      </c>
      <c r="B953" s="9" t="s">
        <v>1116</v>
      </c>
      <c r="C953" s="9" t="s">
        <v>1117</v>
      </c>
      <c r="D953" s="10">
        <v>44753</v>
      </c>
      <c r="E953" s="16">
        <v>3.6259999999999999</v>
      </c>
      <c r="F953" s="11">
        <v>10</v>
      </c>
    </row>
    <row r="954" spans="1:6" x14ac:dyDescent="0.25">
      <c r="A954" s="9" t="s">
        <v>1126</v>
      </c>
      <c r="B954" s="9" t="s">
        <v>1124</v>
      </c>
      <c r="C954" s="9" t="s">
        <v>1152</v>
      </c>
      <c r="D954" s="10">
        <v>44622</v>
      </c>
      <c r="E954" s="16">
        <v>3.3460000000000001</v>
      </c>
      <c r="F954" s="11">
        <v>304</v>
      </c>
    </row>
    <row r="955" spans="1:6" x14ac:dyDescent="0.25">
      <c r="A955" s="9" t="s">
        <v>1148</v>
      </c>
      <c r="B955" s="9" t="s">
        <v>1110</v>
      </c>
      <c r="C955" s="9" t="s">
        <v>1146</v>
      </c>
      <c r="D955" s="10">
        <v>44755</v>
      </c>
      <c r="E955" s="16">
        <v>6.3209999999999997</v>
      </c>
      <c r="F955" s="11">
        <v>88</v>
      </c>
    </row>
    <row r="956" spans="1:6" x14ac:dyDescent="0.25">
      <c r="A956" s="9" t="s">
        <v>1119</v>
      </c>
      <c r="B956" s="9" t="s">
        <v>1102</v>
      </c>
      <c r="C956" s="9" t="s">
        <v>1134</v>
      </c>
      <c r="D956" s="10">
        <v>44776</v>
      </c>
      <c r="E956" s="16">
        <v>9.3450000000000006</v>
      </c>
      <c r="F956" s="11">
        <v>133</v>
      </c>
    </row>
    <row r="957" spans="1:6" x14ac:dyDescent="0.25">
      <c r="A957" s="9" t="s">
        <v>1133</v>
      </c>
      <c r="B957" s="9" t="s">
        <v>1102</v>
      </c>
      <c r="C957" s="9" t="s">
        <v>1108</v>
      </c>
      <c r="D957" s="10">
        <v>44621</v>
      </c>
      <c r="E957" s="16">
        <v>15.007999999999999</v>
      </c>
      <c r="F957" s="11">
        <v>165</v>
      </c>
    </row>
    <row r="958" spans="1:6" x14ac:dyDescent="0.25">
      <c r="A958" s="9" t="s">
        <v>1144</v>
      </c>
      <c r="B958" s="9" t="s">
        <v>1116</v>
      </c>
      <c r="C958" s="9" t="s">
        <v>1139</v>
      </c>
      <c r="D958" s="10">
        <v>44664</v>
      </c>
      <c r="E958" s="16">
        <v>7.609</v>
      </c>
      <c r="F958" s="11">
        <v>150</v>
      </c>
    </row>
    <row r="959" spans="1:6" x14ac:dyDescent="0.25">
      <c r="A959" s="9" t="s">
        <v>1129</v>
      </c>
      <c r="B959" s="9" t="s">
        <v>1124</v>
      </c>
      <c r="C959" s="9" t="s">
        <v>1137</v>
      </c>
      <c r="D959" s="10">
        <v>44606</v>
      </c>
      <c r="E959" s="16">
        <v>10.332000000000001</v>
      </c>
      <c r="F959" s="11">
        <v>180</v>
      </c>
    </row>
    <row r="960" spans="1:6" x14ac:dyDescent="0.25">
      <c r="A960" s="9" t="s">
        <v>1123</v>
      </c>
      <c r="B960" s="9" t="s">
        <v>1105</v>
      </c>
      <c r="C960" s="9" t="s">
        <v>1139</v>
      </c>
      <c r="D960" s="10">
        <v>44768</v>
      </c>
      <c r="E960" s="16">
        <v>819</v>
      </c>
      <c r="F960" s="11">
        <v>213</v>
      </c>
    </row>
    <row r="961" spans="1:6" x14ac:dyDescent="0.25">
      <c r="A961" s="9" t="s">
        <v>1118</v>
      </c>
      <c r="B961" s="9" t="s">
        <v>1102</v>
      </c>
      <c r="C961" s="9" t="s">
        <v>1127</v>
      </c>
      <c r="D961" s="10">
        <v>44588</v>
      </c>
      <c r="E961" s="16">
        <v>5.7539999999999996</v>
      </c>
      <c r="F961" s="11">
        <v>133</v>
      </c>
    </row>
    <row r="962" spans="1:6" x14ac:dyDescent="0.25">
      <c r="A962" s="9" t="s">
        <v>1101</v>
      </c>
      <c r="B962" s="9" t="s">
        <v>1105</v>
      </c>
      <c r="C962" s="9" t="s">
        <v>1108</v>
      </c>
      <c r="D962" s="10">
        <v>44665</v>
      </c>
      <c r="E962" s="16">
        <v>28</v>
      </c>
      <c r="F962" s="11">
        <v>446</v>
      </c>
    </row>
    <row r="963" spans="1:6" x14ac:dyDescent="0.25">
      <c r="A963" s="9" t="s">
        <v>1112</v>
      </c>
      <c r="B963" s="9" t="s">
        <v>1121</v>
      </c>
      <c r="C963" s="9" t="s">
        <v>1142</v>
      </c>
      <c r="D963" s="10">
        <v>44700</v>
      </c>
      <c r="E963" s="16">
        <v>6.44</v>
      </c>
      <c r="F963" s="11">
        <v>141</v>
      </c>
    </row>
    <row r="964" spans="1:6" x14ac:dyDescent="0.25">
      <c r="A964" s="9" t="s">
        <v>1135</v>
      </c>
      <c r="B964" s="9" t="s">
        <v>1105</v>
      </c>
      <c r="C964" s="9" t="s">
        <v>1125</v>
      </c>
      <c r="D964" s="10">
        <v>44601</v>
      </c>
      <c r="E964" s="16">
        <v>4.9560000000000004</v>
      </c>
      <c r="F964" s="11">
        <v>58</v>
      </c>
    </row>
    <row r="965" spans="1:6" x14ac:dyDescent="0.25">
      <c r="A965" s="9" t="s">
        <v>1118</v>
      </c>
      <c r="B965" s="9" t="s">
        <v>1102</v>
      </c>
      <c r="C965" s="9" t="s">
        <v>1134</v>
      </c>
      <c r="D965" s="10">
        <v>44706</v>
      </c>
      <c r="E965" s="16">
        <v>2.3519999999999999</v>
      </c>
      <c r="F965" s="11">
        <v>58</v>
      </c>
    </row>
    <row r="966" spans="1:6" x14ac:dyDescent="0.25">
      <c r="A966" s="9" t="s">
        <v>1112</v>
      </c>
      <c r="B966" s="9" t="s">
        <v>1110</v>
      </c>
      <c r="C966" s="9" t="s">
        <v>1140</v>
      </c>
      <c r="D966" s="10">
        <v>44587</v>
      </c>
      <c r="E966" s="16">
        <v>3.9060000000000001</v>
      </c>
      <c r="F966" s="11">
        <v>76</v>
      </c>
    </row>
    <row r="967" spans="1:6" x14ac:dyDescent="0.25">
      <c r="A967" s="9" t="s">
        <v>1129</v>
      </c>
      <c r="B967" s="9" t="s">
        <v>1105</v>
      </c>
      <c r="C967" s="9" t="s">
        <v>1139</v>
      </c>
      <c r="D967" s="10">
        <v>44746</v>
      </c>
      <c r="E967" s="16">
        <v>1.8129999999999999</v>
      </c>
      <c r="F967" s="11">
        <v>296</v>
      </c>
    </row>
    <row r="968" spans="1:6" x14ac:dyDescent="0.25">
      <c r="A968" s="9" t="s">
        <v>1150</v>
      </c>
      <c r="B968" s="9" t="s">
        <v>1105</v>
      </c>
      <c r="C968" s="9" t="s">
        <v>1142</v>
      </c>
      <c r="D968" s="10">
        <v>44664</v>
      </c>
      <c r="E968" s="16">
        <v>11.788</v>
      </c>
      <c r="F968" s="11">
        <v>73</v>
      </c>
    </row>
    <row r="969" spans="1:6" x14ac:dyDescent="0.25">
      <c r="A969" s="9" t="s">
        <v>1107</v>
      </c>
      <c r="B969" s="9" t="s">
        <v>1110</v>
      </c>
      <c r="C969" s="9" t="s">
        <v>1111</v>
      </c>
      <c r="D969" s="10">
        <v>44586</v>
      </c>
      <c r="E969" s="16">
        <v>5.7679999999999998</v>
      </c>
      <c r="F969" s="11">
        <v>119</v>
      </c>
    </row>
    <row r="970" spans="1:6" x14ac:dyDescent="0.25">
      <c r="A970" s="9" t="s">
        <v>1145</v>
      </c>
      <c r="B970" s="9" t="s">
        <v>1121</v>
      </c>
      <c r="C970" s="9" t="s">
        <v>1106</v>
      </c>
      <c r="D970" s="10">
        <v>44676</v>
      </c>
      <c r="E970" s="16">
        <v>2.4009999999999998</v>
      </c>
      <c r="F970" s="11">
        <v>78</v>
      </c>
    </row>
    <row r="971" spans="1:6" x14ac:dyDescent="0.25">
      <c r="A971" s="9" t="s">
        <v>1145</v>
      </c>
      <c r="B971" s="9" t="s">
        <v>1121</v>
      </c>
      <c r="C971" s="9" t="s">
        <v>1125</v>
      </c>
      <c r="D971" s="10">
        <v>44722</v>
      </c>
      <c r="E971" s="16">
        <v>4.5149999999999997</v>
      </c>
      <c r="F971" s="11">
        <v>392</v>
      </c>
    </row>
    <row r="972" spans="1:6" x14ac:dyDescent="0.25">
      <c r="A972" s="9" t="s">
        <v>1148</v>
      </c>
      <c r="B972" s="9" t="s">
        <v>1116</v>
      </c>
      <c r="C972" s="9" t="s">
        <v>1139</v>
      </c>
      <c r="D972" s="10">
        <v>44795</v>
      </c>
      <c r="E972" s="16">
        <v>10.794</v>
      </c>
      <c r="F972" s="11">
        <v>51</v>
      </c>
    </row>
    <row r="973" spans="1:6" x14ac:dyDescent="0.25">
      <c r="A973" s="9" t="s">
        <v>1104</v>
      </c>
      <c r="B973" s="9" t="s">
        <v>1105</v>
      </c>
      <c r="C973" s="9" t="s">
        <v>1115</v>
      </c>
      <c r="D973" s="10">
        <v>44739</v>
      </c>
      <c r="E973" s="16">
        <v>13.706</v>
      </c>
      <c r="F973" s="11">
        <v>207</v>
      </c>
    </row>
    <row r="974" spans="1:6" x14ac:dyDescent="0.25">
      <c r="A974" s="9" t="s">
        <v>1135</v>
      </c>
      <c r="B974" s="9" t="s">
        <v>1105</v>
      </c>
      <c r="C974" s="9" t="s">
        <v>1122</v>
      </c>
      <c r="D974" s="10">
        <v>44742</v>
      </c>
      <c r="E974" s="16">
        <v>4.3609999999999998</v>
      </c>
      <c r="F974" s="11">
        <v>40</v>
      </c>
    </row>
    <row r="975" spans="1:6" x14ac:dyDescent="0.25">
      <c r="A975" s="9" t="s">
        <v>1101</v>
      </c>
      <c r="B975" s="9" t="s">
        <v>1105</v>
      </c>
      <c r="C975" s="9" t="s">
        <v>1142</v>
      </c>
      <c r="D975" s="10">
        <v>44803</v>
      </c>
      <c r="E975" s="16">
        <v>10.122</v>
      </c>
      <c r="F975" s="11">
        <v>100</v>
      </c>
    </row>
    <row r="976" spans="1:6" x14ac:dyDescent="0.25">
      <c r="A976" s="9" t="s">
        <v>1126</v>
      </c>
      <c r="B976" s="9" t="s">
        <v>1110</v>
      </c>
      <c r="C976" s="9" t="s">
        <v>1146</v>
      </c>
      <c r="D976" s="10">
        <v>44796</v>
      </c>
      <c r="E976" s="16">
        <v>994</v>
      </c>
      <c r="F976" s="11">
        <v>57</v>
      </c>
    </row>
    <row r="977" spans="1:6" x14ac:dyDescent="0.25">
      <c r="A977" s="9" t="s">
        <v>1145</v>
      </c>
      <c r="B977" s="9" t="s">
        <v>1116</v>
      </c>
      <c r="C977" s="9" t="s">
        <v>1113</v>
      </c>
      <c r="D977" s="10">
        <v>44799</v>
      </c>
      <c r="E977" s="16">
        <v>2.2679999999999998</v>
      </c>
      <c r="F977" s="11">
        <v>42</v>
      </c>
    </row>
    <row r="978" spans="1:6" x14ac:dyDescent="0.25">
      <c r="A978" s="9" t="s">
        <v>1107</v>
      </c>
      <c r="B978" s="9" t="s">
        <v>1110</v>
      </c>
      <c r="C978" s="9" t="s">
        <v>1122</v>
      </c>
      <c r="D978" s="10">
        <v>44629</v>
      </c>
      <c r="E978" s="16">
        <v>574</v>
      </c>
      <c r="F978" s="11">
        <v>156</v>
      </c>
    </row>
    <row r="979" spans="1:6" x14ac:dyDescent="0.25">
      <c r="A979" s="9" t="s">
        <v>1144</v>
      </c>
      <c r="B979" s="9" t="s">
        <v>1102</v>
      </c>
      <c r="C979" s="9" t="s">
        <v>1127</v>
      </c>
      <c r="D979" s="10">
        <v>44671</v>
      </c>
      <c r="E979" s="16">
        <v>1.792</v>
      </c>
      <c r="F979" s="11">
        <v>23</v>
      </c>
    </row>
    <row r="980" spans="1:6" x14ac:dyDescent="0.25">
      <c r="A980" s="9" t="s">
        <v>1123</v>
      </c>
      <c r="B980" s="9" t="s">
        <v>1124</v>
      </c>
      <c r="C980" s="9" t="s">
        <v>1152</v>
      </c>
      <c r="D980" s="10">
        <v>44722</v>
      </c>
      <c r="E980" s="16">
        <v>4.8440000000000003</v>
      </c>
      <c r="F980" s="11">
        <v>539</v>
      </c>
    </row>
    <row r="981" spans="1:6" x14ac:dyDescent="0.25">
      <c r="A981" s="9" t="s">
        <v>1135</v>
      </c>
      <c r="B981" s="9" t="s">
        <v>1110</v>
      </c>
      <c r="C981" s="9" t="s">
        <v>1130</v>
      </c>
      <c r="D981" s="10">
        <v>44600</v>
      </c>
      <c r="E981" s="16">
        <v>938</v>
      </c>
      <c r="F981" s="11">
        <v>158</v>
      </c>
    </row>
    <row r="982" spans="1:6" x14ac:dyDescent="0.25">
      <c r="A982" s="9" t="s">
        <v>1118</v>
      </c>
      <c r="B982" s="9" t="s">
        <v>1110</v>
      </c>
      <c r="C982" s="9" t="s">
        <v>1139</v>
      </c>
      <c r="D982" s="10">
        <v>44798</v>
      </c>
      <c r="E982" s="16">
        <v>4.8789999999999996</v>
      </c>
      <c r="F982" s="11">
        <v>22</v>
      </c>
    </row>
    <row r="983" spans="1:6" x14ac:dyDescent="0.25">
      <c r="A983" s="9" t="s">
        <v>1149</v>
      </c>
      <c r="B983" s="9" t="s">
        <v>1105</v>
      </c>
      <c r="C983" s="9" t="s">
        <v>1108</v>
      </c>
      <c r="D983" s="10">
        <v>44608</v>
      </c>
      <c r="E983" s="16">
        <v>9.1069999999999993</v>
      </c>
      <c r="F983" s="11">
        <v>73</v>
      </c>
    </row>
    <row r="984" spans="1:6" x14ac:dyDescent="0.25">
      <c r="A984" s="9" t="s">
        <v>1138</v>
      </c>
      <c r="B984" s="9" t="s">
        <v>1102</v>
      </c>
      <c r="C984" s="9" t="s">
        <v>1113</v>
      </c>
      <c r="D984" s="10">
        <v>44711</v>
      </c>
      <c r="E984" s="16">
        <v>12.186999999999999</v>
      </c>
      <c r="F984" s="11">
        <v>27</v>
      </c>
    </row>
    <row r="985" spans="1:6" x14ac:dyDescent="0.25">
      <c r="A985" s="9" t="s">
        <v>1107</v>
      </c>
      <c r="B985" s="9" t="s">
        <v>1116</v>
      </c>
      <c r="C985" s="9" t="s">
        <v>1117</v>
      </c>
      <c r="D985" s="10">
        <v>44741</v>
      </c>
      <c r="E985" s="16">
        <v>5.67</v>
      </c>
      <c r="F985" s="11">
        <v>64</v>
      </c>
    </row>
    <row r="986" spans="1:6" x14ac:dyDescent="0.25">
      <c r="A986" s="9" t="s">
        <v>1107</v>
      </c>
      <c r="B986" s="9" t="s">
        <v>1121</v>
      </c>
      <c r="C986" s="9" t="s">
        <v>1132</v>
      </c>
      <c r="D986" s="10">
        <v>44728</v>
      </c>
      <c r="E986" s="16">
        <v>476</v>
      </c>
      <c r="F986" s="11">
        <v>133</v>
      </c>
    </row>
    <row r="987" spans="1:6" x14ac:dyDescent="0.25">
      <c r="A987" s="9" t="s">
        <v>1118</v>
      </c>
      <c r="B987" s="9" t="s">
        <v>1102</v>
      </c>
      <c r="C987" s="9" t="s">
        <v>1152</v>
      </c>
      <c r="D987" s="10">
        <v>44624</v>
      </c>
      <c r="E987" s="16">
        <v>2.681</v>
      </c>
      <c r="F987" s="11">
        <v>149</v>
      </c>
    </row>
    <row r="988" spans="1:6" x14ac:dyDescent="0.25">
      <c r="A988" s="9" t="s">
        <v>1133</v>
      </c>
      <c r="B988" s="9" t="s">
        <v>1116</v>
      </c>
      <c r="C988" s="9" t="s">
        <v>1108</v>
      </c>
      <c r="D988" s="10">
        <v>44635</v>
      </c>
      <c r="E988" s="16">
        <v>1.5329999999999999</v>
      </c>
      <c r="F988" s="11">
        <v>434</v>
      </c>
    </row>
    <row r="989" spans="1:6" x14ac:dyDescent="0.25">
      <c r="A989" s="9" t="s">
        <v>1133</v>
      </c>
      <c r="B989" s="9" t="s">
        <v>1116</v>
      </c>
      <c r="C989" s="9" t="s">
        <v>1117</v>
      </c>
      <c r="D989" s="10">
        <v>44588</v>
      </c>
      <c r="E989" s="16">
        <v>9.7650000000000006</v>
      </c>
      <c r="F989" s="11">
        <v>85</v>
      </c>
    </row>
    <row r="990" spans="1:6" x14ac:dyDescent="0.25">
      <c r="A990" s="9" t="s">
        <v>1129</v>
      </c>
      <c r="B990" s="9" t="s">
        <v>1124</v>
      </c>
      <c r="C990" s="9" t="s">
        <v>1127</v>
      </c>
      <c r="D990" s="10">
        <v>44747</v>
      </c>
      <c r="E990" s="16">
        <v>994</v>
      </c>
      <c r="F990" s="11">
        <v>118</v>
      </c>
    </row>
    <row r="991" spans="1:6" x14ac:dyDescent="0.25">
      <c r="A991" s="9" t="s">
        <v>1120</v>
      </c>
      <c r="B991" s="9" t="s">
        <v>1121</v>
      </c>
      <c r="C991" s="9" t="s">
        <v>1152</v>
      </c>
      <c r="D991" s="10">
        <v>44649</v>
      </c>
      <c r="E991" s="16">
        <v>3.3180000000000001</v>
      </c>
      <c r="F991" s="11">
        <v>299</v>
      </c>
    </row>
    <row r="992" spans="1:6" x14ac:dyDescent="0.25">
      <c r="A992" s="9" t="s">
        <v>1123</v>
      </c>
      <c r="B992" s="9" t="s">
        <v>1124</v>
      </c>
      <c r="C992" s="9" t="s">
        <v>1142</v>
      </c>
      <c r="D992" s="10">
        <v>44693</v>
      </c>
      <c r="E992" s="16">
        <v>4.2140000000000004</v>
      </c>
      <c r="F992" s="11">
        <v>35</v>
      </c>
    </row>
    <row r="993" spans="1:6" x14ac:dyDescent="0.25">
      <c r="A993" s="9" t="s">
        <v>1112</v>
      </c>
      <c r="B993" s="9" t="s">
        <v>1121</v>
      </c>
      <c r="C993" s="9" t="s">
        <v>1127</v>
      </c>
      <c r="D993" s="10">
        <v>44631</v>
      </c>
      <c r="E993" s="16">
        <v>7.7140000000000004</v>
      </c>
      <c r="F993" s="11">
        <v>44</v>
      </c>
    </row>
    <row r="994" spans="1:6" x14ac:dyDescent="0.25">
      <c r="A994" s="9" t="s">
        <v>1118</v>
      </c>
      <c r="B994" s="9" t="s">
        <v>1116</v>
      </c>
      <c r="C994" s="9" t="s">
        <v>1125</v>
      </c>
      <c r="D994" s="10">
        <v>44753</v>
      </c>
      <c r="E994" s="16">
        <v>4.6900000000000004</v>
      </c>
      <c r="F994" s="11">
        <v>299</v>
      </c>
    </row>
    <row r="995" spans="1:6" x14ac:dyDescent="0.25">
      <c r="A995" s="9" t="s">
        <v>1114</v>
      </c>
      <c r="B995" s="9" t="s">
        <v>1116</v>
      </c>
      <c r="C995" s="9" t="s">
        <v>1147</v>
      </c>
      <c r="D995" s="10">
        <v>44774</v>
      </c>
      <c r="E995" s="16">
        <v>13.061999999999999</v>
      </c>
      <c r="F995" s="11">
        <v>62</v>
      </c>
    </row>
    <row r="996" spans="1:6" x14ac:dyDescent="0.25">
      <c r="A996" s="9" t="s">
        <v>1114</v>
      </c>
      <c r="B996" s="9" t="s">
        <v>1102</v>
      </c>
      <c r="C996" s="9" t="s">
        <v>1134</v>
      </c>
      <c r="D996" s="10">
        <v>44608</v>
      </c>
      <c r="E996" s="16">
        <v>12.488</v>
      </c>
      <c r="F996" s="11">
        <v>200</v>
      </c>
    </row>
    <row r="997" spans="1:6" x14ac:dyDescent="0.25">
      <c r="A997" s="9" t="s">
        <v>1133</v>
      </c>
      <c r="B997" s="9" t="s">
        <v>1121</v>
      </c>
      <c r="C997" s="9" t="s">
        <v>1115</v>
      </c>
      <c r="D997" s="10">
        <v>44664</v>
      </c>
      <c r="E997" s="16">
        <v>14.147</v>
      </c>
      <c r="F997" s="11">
        <v>235</v>
      </c>
    </row>
    <row r="998" spans="1:6" x14ac:dyDescent="0.25">
      <c r="A998" s="9" t="s">
        <v>1112</v>
      </c>
      <c r="B998" s="9" t="s">
        <v>1105</v>
      </c>
      <c r="C998" s="9" t="s">
        <v>1147</v>
      </c>
      <c r="D998" s="10">
        <v>44606</v>
      </c>
      <c r="E998" s="16">
        <v>49</v>
      </c>
      <c r="F998" s="11">
        <v>363</v>
      </c>
    </row>
    <row r="999" spans="1:6" x14ac:dyDescent="0.25">
      <c r="A999" s="9" t="s">
        <v>1150</v>
      </c>
      <c r="B999" s="9" t="s">
        <v>1110</v>
      </c>
      <c r="C999" s="9" t="s">
        <v>1108</v>
      </c>
      <c r="D999" s="10">
        <v>44634</v>
      </c>
      <c r="E999" s="16">
        <v>10.199</v>
      </c>
      <c r="F999" s="11">
        <v>68</v>
      </c>
    </row>
    <row r="1000" spans="1:6" x14ac:dyDescent="0.25">
      <c r="A1000" s="9" t="s">
        <v>1112</v>
      </c>
      <c r="B1000" s="9" t="s">
        <v>1110</v>
      </c>
      <c r="C1000" s="9" t="s">
        <v>1134</v>
      </c>
      <c r="D1000" s="10">
        <v>44677</v>
      </c>
      <c r="E1000" s="16">
        <v>11.388999999999999</v>
      </c>
      <c r="F1000" s="11">
        <v>26</v>
      </c>
    </row>
    <row r="1001" spans="1:6" x14ac:dyDescent="0.25">
      <c r="A1001" s="9" t="s">
        <v>1101</v>
      </c>
      <c r="B1001" s="9" t="s">
        <v>1124</v>
      </c>
      <c r="C1001" s="9" t="s">
        <v>1140</v>
      </c>
      <c r="D1001" s="10">
        <v>44656</v>
      </c>
      <c r="E1001" s="16">
        <v>3.5840000000000001</v>
      </c>
      <c r="F1001" s="11">
        <v>200</v>
      </c>
    </row>
    <row r="1002" spans="1:6" x14ac:dyDescent="0.25">
      <c r="A1002" s="9" t="s">
        <v>1145</v>
      </c>
      <c r="B1002" s="9" t="s">
        <v>1124</v>
      </c>
      <c r="C1002" s="9" t="s">
        <v>1127</v>
      </c>
      <c r="D1002" s="10">
        <v>44623</v>
      </c>
      <c r="E1002" s="16">
        <v>12.481</v>
      </c>
      <c r="F1002" s="11">
        <v>264</v>
      </c>
    </row>
    <row r="1003" spans="1:6" x14ac:dyDescent="0.25">
      <c r="A1003" s="9" t="s">
        <v>1136</v>
      </c>
      <c r="B1003" s="9" t="s">
        <v>1121</v>
      </c>
      <c r="C1003" s="9" t="s">
        <v>1134</v>
      </c>
      <c r="D1003" s="10">
        <v>44725</v>
      </c>
      <c r="E1003" s="16">
        <v>2.1070000000000002</v>
      </c>
      <c r="F1003" s="11">
        <v>175</v>
      </c>
    </row>
    <row r="1004" spans="1:6" x14ac:dyDescent="0.25">
      <c r="A1004" s="9" t="s">
        <v>1128</v>
      </c>
      <c r="B1004" s="9" t="s">
        <v>1116</v>
      </c>
      <c r="C1004" s="9" t="s">
        <v>1153</v>
      </c>
      <c r="D1004" s="10">
        <v>44606</v>
      </c>
      <c r="E1004" s="16">
        <v>8.6029999999999998</v>
      </c>
      <c r="F1004" s="11">
        <v>352</v>
      </c>
    </row>
    <row r="1005" spans="1:6" x14ac:dyDescent="0.25">
      <c r="A1005" s="9" t="s">
        <v>1131</v>
      </c>
      <c r="B1005" s="9" t="s">
        <v>1116</v>
      </c>
      <c r="C1005" s="9" t="s">
        <v>1113</v>
      </c>
      <c r="D1005" s="10">
        <v>44669</v>
      </c>
      <c r="E1005" s="16">
        <v>7.4829999999999997</v>
      </c>
      <c r="F1005" s="11">
        <v>183</v>
      </c>
    </row>
    <row r="1006" spans="1:6" x14ac:dyDescent="0.25">
      <c r="A1006" s="9" t="s">
        <v>1112</v>
      </c>
      <c r="B1006" s="9" t="s">
        <v>1116</v>
      </c>
      <c r="C1006" s="9" t="s">
        <v>1106</v>
      </c>
      <c r="D1006" s="10">
        <v>44593</v>
      </c>
      <c r="E1006" s="16">
        <v>3.3809999999999998</v>
      </c>
      <c r="F1006" s="11">
        <v>417</v>
      </c>
    </row>
    <row r="1007" spans="1:6" x14ac:dyDescent="0.25">
      <c r="A1007" s="9" t="s">
        <v>1149</v>
      </c>
      <c r="B1007" s="9" t="s">
        <v>1116</v>
      </c>
      <c r="C1007" s="9" t="s">
        <v>1122</v>
      </c>
      <c r="D1007" s="10">
        <v>44777</v>
      </c>
      <c r="E1007" s="16">
        <v>2.0299999999999998</v>
      </c>
      <c r="F1007" s="11">
        <v>146</v>
      </c>
    </row>
    <row r="1008" spans="1:6" x14ac:dyDescent="0.25">
      <c r="A1008" s="9" t="s">
        <v>1143</v>
      </c>
      <c r="B1008" s="9" t="s">
        <v>1116</v>
      </c>
      <c r="C1008" s="9" t="s">
        <v>1142</v>
      </c>
      <c r="D1008" s="10">
        <v>44656</v>
      </c>
      <c r="E1008" s="16">
        <v>6.5590000000000002</v>
      </c>
      <c r="F1008" s="11">
        <v>158</v>
      </c>
    </row>
    <row r="1009" spans="1:6" x14ac:dyDescent="0.25">
      <c r="A1009" s="9" t="s">
        <v>1126</v>
      </c>
      <c r="B1009" s="9" t="s">
        <v>1110</v>
      </c>
      <c r="C1009" s="9" t="s">
        <v>1113</v>
      </c>
      <c r="D1009" s="10">
        <v>44587</v>
      </c>
      <c r="E1009" s="16">
        <v>10.821999999999999</v>
      </c>
      <c r="F1009" s="11">
        <v>168</v>
      </c>
    </row>
    <row r="1010" spans="1:6" x14ac:dyDescent="0.25">
      <c r="A1010" s="9" t="s">
        <v>1136</v>
      </c>
      <c r="B1010" s="9" t="s">
        <v>1102</v>
      </c>
      <c r="C1010" s="9" t="s">
        <v>1115</v>
      </c>
      <c r="D1010" s="10">
        <v>44582</v>
      </c>
      <c r="E1010" s="16">
        <v>18.696999999999999</v>
      </c>
      <c r="F1010" s="11">
        <v>176</v>
      </c>
    </row>
    <row r="1011" spans="1:6" x14ac:dyDescent="0.25">
      <c r="A1011" s="9" t="s">
        <v>1136</v>
      </c>
      <c r="B1011" s="9" t="s">
        <v>1124</v>
      </c>
      <c r="C1011" s="9" t="s">
        <v>1115</v>
      </c>
      <c r="D1011" s="10">
        <v>44795</v>
      </c>
      <c r="E1011" s="16">
        <v>5.8449999999999998</v>
      </c>
      <c r="F1011" s="11">
        <v>172</v>
      </c>
    </row>
    <row r="1012" spans="1:6" x14ac:dyDescent="0.25">
      <c r="A1012" s="9" t="s">
        <v>1136</v>
      </c>
      <c r="B1012" s="9" t="s">
        <v>1102</v>
      </c>
      <c r="C1012" s="9" t="s">
        <v>1127</v>
      </c>
      <c r="D1012" s="10">
        <v>44588</v>
      </c>
      <c r="E1012" s="16">
        <v>2.3170000000000002</v>
      </c>
      <c r="F1012" s="11">
        <v>224</v>
      </c>
    </row>
    <row r="1013" spans="1:6" x14ac:dyDescent="0.25">
      <c r="A1013" s="9" t="s">
        <v>1119</v>
      </c>
      <c r="B1013" s="9" t="s">
        <v>1102</v>
      </c>
      <c r="C1013" s="9" t="s">
        <v>1117</v>
      </c>
      <c r="D1013" s="10">
        <v>44608</v>
      </c>
      <c r="E1013" s="16">
        <v>10.15</v>
      </c>
      <c r="F1013" s="11">
        <v>68</v>
      </c>
    </row>
    <row r="1014" spans="1:6" x14ac:dyDescent="0.25">
      <c r="A1014" s="9" t="s">
        <v>1149</v>
      </c>
      <c r="B1014" s="9" t="s">
        <v>1121</v>
      </c>
      <c r="C1014" s="9" t="s">
        <v>1146</v>
      </c>
      <c r="D1014" s="10">
        <v>44564</v>
      </c>
      <c r="E1014" s="16">
        <v>3.4369999999999998</v>
      </c>
      <c r="F1014" s="11">
        <v>46</v>
      </c>
    </row>
    <row r="1015" spans="1:6" x14ac:dyDescent="0.25">
      <c r="A1015" s="9" t="s">
        <v>1126</v>
      </c>
      <c r="B1015" s="9" t="s">
        <v>1121</v>
      </c>
      <c r="C1015" s="9" t="s">
        <v>1139</v>
      </c>
      <c r="D1015" s="10">
        <v>44797</v>
      </c>
      <c r="E1015" s="16">
        <v>4.5919999999999996</v>
      </c>
      <c r="F1015" s="11">
        <v>2</v>
      </c>
    </row>
    <row r="1016" spans="1:6" x14ac:dyDescent="0.25">
      <c r="A1016" s="9" t="s">
        <v>1112</v>
      </c>
      <c r="B1016" s="9" t="s">
        <v>1121</v>
      </c>
      <c r="C1016" s="9" t="s">
        <v>1134</v>
      </c>
      <c r="D1016" s="10">
        <v>44599</v>
      </c>
      <c r="E1016" s="16">
        <v>5.6909999999999998</v>
      </c>
      <c r="F1016" s="11">
        <v>417</v>
      </c>
    </row>
    <row r="1017" spans="1:6" x14ac:dyDescent="0.25">
      <c r="A1017" s="9" t="s">
        <v>1123</v>
      </c>
      <c r="B1017" s="9" t="s">
        <v>1110</v>
      </c>
      <c r="C1017" s="9" t="s">
        <v>1111</v>
      </c>
      <c r="D1017" s="10">
        <v>44603</v>
      </c>
      <c r="E1017" s="16">
        <v>4.1580000000000004</v>
      </c>
      <c r="F1017" s="11">
        <v>109</v>
      </c>
    </row>
    <row r="1018" spans="1:6" x14ac:dyDescent="0.25">
      <c r="A1018" s="9" t="s">
        <v>1136</v>
      </c>
      <c r="B1018" s="9" t="s">
        <v>1124</v>
      </c>
      <c r="C1018" s="9" t="s">
        <v>1130</v>
      </c>
      <c r="D1018" s="10">
        <v>44649</v>
      </c>
      <c r="E1018" s="16">
        <v>5.6840000000000002</v>
      </c>
      <c r="F1018" s="11">
        <v>81</v>
      </c>
    </row>
    <row r="1019" spans="1:6" x14ac:dyDescent="0.25">
      <c r="A1019" s="9" t="s">
        <v>1128</v>
      </c>
      <c r="B1019" s="9" t="s">
        <v>1121</v>
      </c>
      <c r="C1019" s="9" t="s">
        <v>1108</v>
      </c>
      <c r="D1019" s="10">
        <v>44727</v>
      </c>
      <c r="E1019" s="16">
        <v>693</v>
      </c>
      <c r="F1019" s="11">
        <v>350</v>
      </c>
    </row>
    <row r="1020" spans="1:6" x14ac:dyDescent="0.25">
      <c r="A1020" s="9" t="s">
        <v>1138</v>
      </c>
      <c r="B1020" s="9" t="s">
        <v>1102</v>
      </c>
      <c r="C1020" s="9" t="s">
        <v>1111</v>
      </c>
      <c r="D1020" s="10">
        <v>44677</v>
      </c>
      <c r="E1020" s="16">
        <v>546</v>
      </c>
      <c r="F1020" s="11">
        <v>142</v>
      </c>
    </row>
    <row r="1021" spans="1:6" x14ac:dyDescent="0.25">
      <c r="A1021" s="9" t="s">
        <v>1118</v>
      </c>
      <c r="B1021" s="9" t="s">
        <v>1110</v>
      </c>
      <c r="C1021" s="9" t="s">
        <v>1130</v>
      </c>
      <c r="D1021" s="10">
        <v>44757</v>
      </c>
      <c r="E1021" s="16">
        <v>4.2629999999999999</v>
      </c>
      <c r="F1021" s="11">
        <v>264</v>
      </c>
    </row>
    <row r="1022" spans="1:6" x14ac:dyDescent="0.25">
      <c r="A1022" s="9" t="s">
        <v>1129</v>
      </c>
      <c r="B1022" s="9" t="s">
        <v>1105</v>
      </c>
      <c r="C1022" s="9" t="s">
        <v>1130</v>
      </c>
      <c r="D1022" s="10">
        <v>44735</v>
      </c>
      <c r="E1022" s="16">
        <v>1.036</v>
      </c>
      <c r="F1022" s="11">
        <v>20</v>
      </c>
    </row>
    <row r="1023" spans="1:6" x14ac:dyDescent="0.25">
      <c r="A1023" s="9" t="s">
        <v>1138</v>
      </c>
      <c r="B1023" s="9" t="s">
        <v>1110</v>
      </c>
      <c r="C1023" s="9" t="s">
        <v>1151</v>
      </c>
      <c r="D1023" s="10">
        <v>44572</v>
      </c>
      <c r="E1023" s="16">
        <v>13.846</v>
      </c>
      <c r="F1023" s="11">
        <v>421</v>
      </c>
    </row>
    <row r="1024" spans="1:6" x14ac:dyDescent="0.25">
      <c r="A1024" s="9" t="s">
        <v>1129</v>
      </c>
      <c r="B1024" s="9" t="s">
        <v>1102</v>
      </c>
      <c r="C1024" s="9" t="s">
        <v>1117</v>
      </c>
      <c r="D1024" s="10">
        <v>44601</v>
      </c>
      <c r="E1024" s="16">
        <v>2.4990000000000001</v>
      </c>
      <c r="F1024" s="11">
        <v>271</v>
      </c>
    </row>
    <row r="1025" spans="1:6" x14ac:dyDescent="0.25">
      <c r="A1025" s="9" t="s">
        <v>1104</v>
      </c>
      <c r="B1025" s="9" t="s">
        <v>1102</v>
      </c>
      <c r="C1025" s="9" t="s">
        <v>1142</v>
      </c>
      <c r="D1025" s="10">
        <v>44718</v>
      </c>
      <c r="E1025" s="16">
        <v>10.689</v>
      </c>
      <c r="F1025" s="11">
        <v>204</v>
      </c>
    </row>
    <row r="1026" spans="1:6" x14ac:dyDescent="0.25">
      <c r="A1026" s="9" t="s">
        <v>1149</v>
      </c>
      <c r="B1026" s="9" t="s">
        <v>1102</v>
      </c>
      <c r="C1026" s="9" t="s">
        <v>1152</v>
      </c>
      <c r="D1026" s="10">
        <v>44783</v>
      </c>
      <c r="E1026" s="16">
        <v>5.7679999999999998</v>
      </c>
      <c r="F1026" s="11">
        <v>235</v>
      </c>
    </row>
    <row r="1027" spans="1:6" x14ac:dyDescent="0.25">
      <c r="A1027" s="9" t="s">
        <v>1141</v>
      </c>
      <c r="B1027" s="9" t="s">
        <v>1110</v>
      </c>
      <c r="C1027" s="9" t="s">
        <v>1111</v>
      </c>
      <c r="D1027" s="10">
        <v>44565</v>
      </c>
      <c r="E1027" s="16">
        <v>2.226</v>
      </c>
      <c r="F1027" s="11">
        <v>46</v>
      </c>
    </row>
    <row r="1028" spans="1:6" x14ac:dyDescent="0.25">
      <c r="A1028" s="9" t="s">
        <v>1143</v>
      </c>
      <c r="B1028" s="9" t="s">
        <v>1124</v>
      </c>
      <c r="C1028" s="9" t="s">
        <v>1153</v>
      </c>
      <c r="D1028" s="10">
        <v>44659</v>
      </c>
      <c r="E1028" s="16">
        <v>10.262</v>
      </c>
      <c r="F1028" s="11">
        <v>15</v>
      </c>
    </row>
    <row r="1029" spans="1:6" x14ac:dyDescent="0.25">
      <c r="A1029" s="9" t="s">
        <v>1120</v>
      </c>
      <c r="B1029" s="9" t="s">
        <v>1102</v>
      </c>
      <c r="C1029" s="9" t="s">
        <v>1132</v>
      </c>
      <c r="D1029" s="10">
        <v>44622</v>
      </c>
      <c r="E1029" s="16">
        <v>3.8639999999999999</v>
      </c>
      <c r="F1029" s="11">
        <v>430</v>
      </c>
    </row>
    <row r="1030" spans="1:6" x14ac:dyDescent="0.25">
      <c r="A1030" s="9" t="s">
        <v>1104</v>
      </c>
      <c r="B1030" s="9" t="s">
        <v>1124</v>
      </c>
      <c r="C1030" s="9" t="s">
        <v>1127</v>
      </c>
      <c r="D1030" s="10">
        <v>44727</v>
      </c>
      <c r="E1030" s="16">
        <v>4.9000000000000004</v>
      </c>
      <c r="F1030" s="11">
        <v>709</v>
      </c>
    </row>
    <row r="1031" spans="1:6" x14ac:dyDescent="0.25">
      <c r="A1031" s="9" t="s">
        <v>1101</v>
      </c>
      <c r="B1031" s="9" t="s">
        <v>1110</v>
      </c>
      <c r="C1031" s="9" t="s">
        <v>1115</v>
      </c>
      <c r="D1031" s="10">
        <v>44606</v>
      </c>
      <c r="E1031" s="16">
        <v>5.25</v>
      </c>
      <c r="F1031" s="11">
        <v>47</v>
      </c>
    </row>
    <row r="1032" spans="1:6" x14ac:dyDescent="0.25">
      <c r="A1032" s="9" t="s">
        <v>1135</v>
      </c>
      <c r="B1032" s="9" t="s">
        <v>1102</v>
      </c>
      <c r="C1032" s="9" t="s">
        <v>1115</v>
      </c>
      <c r="D1032" s="10">
        <v>44747</v>
      </c>
      <c r="E1032" s="16">
        <v>3.5070000000000001</v>
      </c>
      <c r="F1032" s="11">
        <v>380</v>
      </c>
    </row>
    <row r="1033" spans="1:6" x14ac:dyDescent="0.25">
      <c r="A1033" s="9" t="s">
        <v>1120</v>
      </c>
      <c r="B1033" s="9" t="s">
        <v>1105</v>
      </c>
      <c r="C1033" s="9" t="s">
        <v>1103</v>
      </c>
      <c r="D1033" s="10">
        <v>44573</v>
      </c>
      <c r="E1033" s="16">
        <v>7.4130000000000003</v>
      </c>
      <c r="F1033" s="11">
        <v>465</v>
      </c>
    </row>
    <row r="1034" spans="1:6" x14ac:dyDescent="0.25">
      <c r="A1034" s="9" t="s">
        <v>1133</v>
      </c>
      <c r="B1034" s="9" t="s">
        <v>1105</v>
      </c>
      <c r="C1034" s="9" t="s">
        <v>1103</v>
      </c>
      <c r="D1034" s="10">
        <v>44623</v>
      </c>
      <c r="E1034" s="16">
        <v>8.1549999999999994</v>
      </c>
      <c r="F1034" s="11">
        <v>96</v>
      </c>
    </row>
    <row r="1035" spans="1:6" x14ac:dyDescent="0.25">
      <c r="A1035" s="9" t="s">
        <v>1101</v>
      </c>
      <c r="B1035" s="9" t="s">
        <v>1116</v>
      </c>
      <c r="C1035" s="9" t="s">
        <v>1132</v>
      </c>
      <c r="D1035" s="10">
        <v>44699</v>
      </c>
      <c r="E1035" s="16">
        <v>2.4780000000000002</v>
      </c>
      <c r="F1035" s="11">
        <v>188</v>
      </c>
    </row>
    <row r="1036" spans="1:6" x14ac:dyDescent="0.25">
      <c r="A1036" s="9" t="s">
        <v>1114</v>
      </c>
      <c r="B1036" s="9" t="s">
        <v>1105</v>
      </c>
      <c r="C1036" s="9" t="s">
        <v>1152</v>
      </c>
      <c r="D1036" s="10">
        <v>44770</v>
      </c>
      <c r="E1036" s="16">
        <v>2.4710000000000001</v>
      </c>
      <c r="F1036" s="11">
        <v>202</v>
      </c>
    </row>
    <row r="1037" spans="1:6" x14ac:dyDescent="0.25">
      <c r="A1037" s="9" t="s">
        <v>1133</v>
      </c>
      <c r="B1037" s="9" t="s">
        <v>1102</v>
      </c>
      <c r="C1037" s="9" t="s">
        <v>1140</v>
      </c>
      <c r="D1037" s="10">
        <v>44599</v>
      </c>
      <c r="E1037" s="16">
        <v>1.6659999999999999</v>
      </c>
      <c r="F1037" s="11">
        <v>106</v>
      </c>
    </row>
    <row r="1038" spans="1:6" x14ac:dyDescent="0.25">
      <c r="A1038" s="9" t="s">
        <v>1143</v>
      </c>
      <c r="B1038" s="9" t="s">
        <v>1105</v>
      </c>
      <c r="C1038" s="9" t="s">
        <v>1122</v>
      </c>
      <c r="D1038" s="10">
        <v>44711</v>
      </c>
      <c r="E1038" s="16">
        <v>301</v>
      </c>
      <c r="F1038" s="11">
        <v>421</v>
      </c>
    </row>
    <row r="1039" spans="1:6" x14ac:dyDescent="0.25">
      <c r="A1039" s="9" t="s">
        <v>1123</v>
      </c>
      <c r="B1039" s="9" t="s">
        <v>1110</v>
      </c>
      <c r="C1039" s="9" t="s">
        <v>1146</v>
      </c>
      <c r="D1039" s="10">
        <v>44676</v>
      </c>
      <c r="E1039" s="16">
        <v>8.4</v>
      </c>
      <c r="F1039" s="11">
        <v>27</v>
      </c>
    </row>
    <row r="1040" spans="1:6" x14ac:dyDescent="0.25">
      <c r="A1040" s="9" t="s">
        <v>1129</v>
      </c>
      <c r="B1040" s="9" t="s">
        <v>1124</v>
      </c>
      <c r="C1040" s="9" t="s">
        <v>1106</v>
      </c>
      <c r="D1040" s="10">
        <v>44608</v>
      </c>
      <c r="E1040" s="16">
        <v>6.1390000000000002</v>
      </c>
      <c r="F1040" s="11">
        <v>45</v>
      </c>
    </row>
    <row r="1041" spans="1:6" x14ac:dyDescent="0.25">
      <c r="A1041" s="9" t="s">
        <v>1144</v>
      </c>
      <c r="B1041" s="9" t="s">
        <v>1110</v>
      </c>
      <c r="C1041" s="9" t="s">
        <v>1127</v>
      </c>
      <c r="D1041" s="10">
        <v>44685</v>
      </c>
      <c r="E1041" s="16">
        <v>1.288</v>
      </c>
      <c r="F1041" s="11">
        <v>60</v>
      </c>
    </row>
    <row r="1042" spans="1:6" x14ac:dyDescent="0.25">
      <c r="A1042" s="9" t="s">
        <v>1104</v>
      </c>
      <c r="B1042" s="9" t="s">
        <v>1124</v>
      </c>
      <c r="C1042" s="9" t="s">
        <v>1153</v>
      </c>
      <c r="D1042" s="10">
        <v>44714</v>
      </c>
      <c r="E1042" s="16">
        <v>7.077</v>
      </c>
      <c r="F1042" s="11">
        <v>77</v>
      </c>
    </row>
    <row r="1043" spans="1:6" x14ac:dyDescent="0.25">
      <c r="A1043" s="9" t="s">
        <v>1138</v>
      </c>
      <c r="B1043" s="9" t="s">
        <v>1121</v>
      </c>
      <c r="C1043" s="9" t="s">
        <v>1152</v>
      </c>
      <c r="D1043" s="10">
        <v>44753</v>
      </c>
      <c r="E1043" s="16">
        <v>2.3170000000000002</v>
      </c>
      <c r="F1043" s="11">
        <v>464</v>
      </c>
    </row>
    <row r="1044" spans="1:6" x14ac:dyDescent="0.25">
      <c r="A1044" s="9" t="s">
        <v>1129</v>
      </c>
      <c r="B1044" s="9" t="s">
        <v>1116</v>
      </c>
      <c r="C1044" s="9" t="s">
        <v>1134</v>
      </c>
      <c r="D1044" s="10">
        <v>44719</v>
      </c>
      <c r="E1044" s="16">
        <v>63</v>
      </c>
      <c r="F1044" s="11">
        <v>60</v>
      </c>
    </row>
    <row r="1045" spans="1:6" x14ac:dyDescent="0.25">
      <c r="A1045" s="9" t="s">
        <v>1109</v>
      </c>
      <c r="B1045" s="9" t="s">
        <v>1102</v>
      </c>
      <c r="C1045" s="9" t="s">
        <v>1142</v>
      </c>
      <c r="D1045" s="10">
        <v>44748</v>
      </c>
      <c r="E1045" s="16">
        <v>9.7439999999999998</v>
      </c>
      <c r="F1045" s="11">
        <v>157</v>
      </c>
    </row>
    <row r="1046" spans="1:6" x14ac:dyDescent="0.25">
      <c r="A1046" s="9" t="s">
        <v>1135</v>
      </c>
      <c r="B1046" s="9" t="s">
        <v>1105</v>
      </c>
      <c r="C1046" s="9" t="s">
        <v>1146</v>
      </c>
      <c r="D1046" s="10">
        <v>44727</v>
      </c>
      <c r="E1046" s="16">
        <v>9.9540000000000006</v>
      </c>
      <c r="F1046" s="11">
        <v>154</v>
      </c>
    </row>
    <row r="1047" spans="1:6" x14ac:dyDescent="0.25">
      <c r="A1047" s="9" t="s">
        <v>1149</v>
      </c>
      <c r="B1047" s="9" t="s">
        <v>1105</v>
      </c>
      <c r="C1047" s="9" t="s">
        <v>1103</v>
      </c>
      <c r="D1047" s="10">
        <v>44665</v>
      </c>
      <c r="E1047" s="16">
        <v>1.26</v>
      </c>
      <c r="F1047" s="11">
        <v>239</v>
      </c>
    </row>
    <row r="1048" spans="1:6" x14ac:dyDescent="0.25">
      <c r="A1048" s="9" t="s">
        <v>1145</v>
      </c>
      <c r="B1048" s="9" t="s">
        <v>1105</v>
      </c>
      <c r="C1048" s="9" t="s">
        <v>1127</v>
      </c>
      <c r="D1048" s="10">
        <v>44781</v>
      </c>
      <c r="E1048" s="16">
        <v>469</v>
      </c>
      <c r="F1048" s="11">
        <v>163</v>
      </c>
    </row>
    <row r="1049" spans="1:6" x14ac:dyDescent="0.25">
      <c r="A1049" s="9" t="s">
        <v>1128</v>
      </c>
      <c r="B1049" s="9" t="s">
        <v>1102</v>
      </c>
      <c r="C1049" s="9" t="s">
        <v>1127</v>
      </c>
      <c r="D1049" s="10">
        <v>44649</v>
      </c>
      <c r="E1049" s="16">
        <v>973</v>
      </c>
      <c r="F1049" s="11">
        <v>28</v>
      </c>
    </row>
    <row r="1050" spans="1:6" x14ac:dyDescent="0.25">
      <c r="A1050" s="9" t="s">
        <v>1131</v>
      </c>
      <c r="B1050" s="9" t="s">
        <v>1110</v>
      </c>
      <c r="C1050" s="9" t="s">
        <v>1130</v>
      </c>
      <c r="D1050" s="10">
        <v>44746</v>
      </c>
      <c r="E1050" s="16">
        <v>3.6469999999999998</v>
      </c>
      <c r="F1050" s="11">
        <v>76</v>
      </c>
    </row>
    <row r="1051" spans="1:6" x14ac:dyDescent="0.25">
      <c r="A1051" s="9" t="s">
        <v>1150</v>
      </c>
      <c r="B1051" s="9" t="s">
        <v>1105</v>
      </c>
      <c r="C1051" s="9" t="s">
        <v>1113</v>
      </c>
      <c r="D1051" s="10">
        <v>44608</v>
      </c>
      <c r="E1051" s="16">
        <v>455</v>
      </c>
      <c r="F1051" s="11">
        <v>96</v>
      </c>
    </row>
    <row r="1052" spans="1:6" x14ac:dyDescent="0.25">
      <c r="A1052" s="9" t="s">
        <v>1119</v>
      </c>
      <c r="B1052" s="9" t="s">
        <v>1124</v>
      </c>
      <c r="C1052" s="9" t="s">
        <v>1134</v>
      </c>
      <c r="D1052" s="10">
        <v>44683</v>
      </c>
      <c r="E1052" s="16">
        <v>2.52</v>
      </c>
      <c r="F1052" s="11">
        <v>156</v>
      </c>
    </row>
    <row r="1053" spans="1:6" x14ac:dyDescent="0.25">
      <c r="A1053" s="9" t="s">
        <v>1104</v>
      </c>
      <c r="B1053" s="9" t="s">
        <v>1105</v>
      </c>
      <c r="C1053" s="9" t="s">
        <v>1125</v>
      </c>
      <c r="D1053" s="10">
        <v>44763</v>
      </c>
      <c r="E1053" s="16">
        <v>10.5</v>
      </c>
      <c r="F1053" s="11">
        <v>106</v>
      </c>
    </row>
    <row r="1054" spans="1:6" x14ac:dyDescent="0.25">
      <c r="A1054" s="9" t="s">
        <v>1114</v>
      </c>
      <c r="B1054" s="9" t="s">
        <v>1110</v>
      </c>
      <c r="C1054" s="9" t="s">
        <v>1113</v>
      </c>
      <c r="D1054" s="10">
        <v>44791</v>
      </c>
      <c r="E1054" s="16">
        <v>7.952</v>
      </c>
      <c r="F1054" s="11">
        <v>235</v>
      </c>
    </row>
    <row r="1055" spans="1:6" x14ac:dyDescent="0.25">
      <c r="A1055" s="9" t="s">
        <v>1136</v>
      </c>
      <c r="B1055" s="9" t="s">
        <v>1121</v>
      </c>
      <c r="C1055" s="9" t="s">
        <v>1106</v>
      </c>
      <c r="D1055" s="10">
        <v>44734</v>
      </c>
      <c r="E1055" s="16">
        <v>483</v>
      </c>
      <c r="F1055" s="11">
        <v>259</v>
      </c>
    </row>
    <row r="1056" spans="1:6" x14ac:dyDescent="0.25">
      <c r="A1056" s="9" t="s">
        <v>1145</v>
      </c>
      <c r="B1056" s="9" t="s">
        <v>1102</v>
      </c>
      <c r="C1056" s="9" t="s">
        <v>1108</v>
      </c>
      <c r="D1056" s="10">
        <v>44761</v>
      </c>
      <c r="E1056" s="16">
        <v>4.8719999999999999</v>
      </c>
      <c r="F1056" s="11">
        <v>126</v>
      </c>
    </row>
    <row r="1057" spans="1:6" x14ac:dyDescent="0.25">
      <c r="A1057" s="9" t="s">
        <v>1148</v>
      </c>
      <c r="B1057" s="9" t="s">
        <v>1102</v>
      </c>
      <c r="C1057" s="9" t="s">
        <v>1108</v>
      </c>
      <c r="D1057" s="10">
        <v>44785</v>
      </c>
      <c r="E1057" s="16">
        <v>7.7560000000000002</v>
      </c>
      <c r="F1057" s="11">
        <v>85</v>
      </c>
    </row>
    <row r="1058" spans="1:6" x14ac:dyDescent="0.25">
      <c r="A1058" s="9" t="s">
        <v>1148</v>
      </c>
      <c r="B1058" s="9" t="s">
        <v>1121</v>
      </c>
      <c r="C1058" s="9" t="s">
        <v>1147</v>
      </c>
      <c r="D1058" s="10">
        <v>44719</v>
      </c>
      <c r="E1058" s="16">
        <v>5.4459999999999997</v>
      </c>
      <c r="F1058" s="11">
        <v>132</v>
      </c>
    </row>
    <row r="1059" spans="1:6" x14ac:dyDescent="0.25">
      <c r="A1059" s="9" t="s">
        <v>1128</v>
      </c>
      <c r="B1059" s="9" t="s">
        <v>1124</v>
      </c>
      <c r="C1059" s="9" t="s">
        <v>1108</v>
      </c>
      <c r="D1059" s="10">
        <v>44628</v>
      </c>
      <c r="E1059" s="16">
        <v>6.5940000000000003</v>
      </c>
      <c r="F1059" s="11">
        <v>91</v>
      </c>
    </row>
    <row r="1060" spans="1:6" x14ac:dyDescent="0.25">
      <c r="A1060" s="9" t="s">
        <v>1150</v>
      </c>
      <c r="B1060" s="9" t="s">
        <v>1110</v>
      </c>
      <c r="C1060" s="9" t="s">
        <v>1147</v>
      </c>
      <c r="D1060" s="10">
        <v>44659</v>
      </c>
      <c r="E1060" s="16">
        <v>1.47</v>
      </c>
      <c r="F1060" s="11">
        <v>167</v>
      </c>
    </row>
    <row r="1061" spans="1:6" x14ac:dyDescent="0.25">
      <c r="A1061" s="9" t="s">
        <v>1133</v>
      </c>
      <c r="B1061" s="9" t="s">
        <v>1124</v>
      </c>
      <c r="C1061" s="9" t="s">
        <v>1125</v>
      </c>
      <c r="D1061" s="10">
        <v>44687</v>
      </c>
      <c r="E1061" s="16">
        <v>721</v>
      </c>
      <c r="F1061" s="11">
        <v>203</v>
      </c>
    </row>
    <row r="1062" spans="1:6" x14ac:dyDescent="0.25">
      <c r="A1062" s="9" t="s">
        <v>1131</v>
      </c>
      <c r="B1062" s="9" t="s">
        <v>1105</v>
      </c>
      <c r="C1062" s="9" t="s">
        <v>1127</v>
      </c>
      <c r="D1062" s="10">
        <v>44712</v>
      </c>
      <c r="E1062" s="16">
        <v>4.4939999999999998</v>
      </c>
      <c r="F1062" s="11">
        <v>11</v>
      </c>
    </row>
    <row r="1063" spans="1:6" x14ac:dyDescent="0.25">
      <c r="A1063" s="9" t="s">
        <v>1104</v>
      </c>
      <c r="B1063" s="9" t="s">
        <v>1110</v>
      </c>
      <c r="C1063" s="9" t="s">
        <v>1103</v>
      </c>
      <c r="D1063" s="10">
        <v>44574</v>
      </c>
      <c r="E1063" s="16">
        <v>2.6739999999999999</v>
      </c>
      <c r="F1063" s="11">
        <v>295</v>
      </c>
    </row>
    <row r="1064" spans="1:6" x14ac:dyDescent="0.25">
      <c r="A1064" s="9" t="s">
        <v>1138</v>
      </c>
      <c r="B1064" s="9" t="s">
        <v>1121</v>
      </c>
      <c r="C1064" s="9" t="s">
        <v>1153</v>
      </c>
      <c r="D1064" s="10">
        <v>44635</v>
      </c>
      <c r="E1064" s="16">
        <v>658</v>
      </c>
      <c r="F1064" s="11">
        <v>77</v>
      </c>
    </row>
    <row r="1065" spans="1:6" x14ac:dyDescent="0.25">
      <c r="A1065" s="9" t="s">
        <v>1143</v>
      </c>
      <c r="B1065" s="9" t="s">
        <v>1124</v>
      </c>
      <c r="C1065" s="9" t="s">
        <v>1108</v>
      </c>
      <c r="D1065" s="10">
        <v>44608</v>
      </c>
      <c r="E1065" s="16">
        <v>1.127</v>
      </c>
      <c r="F1065" s="11">
        <v>319</v>
      </c>
    </row>
    <row r="1066" spans="1:6" x14ac:dyDescent="0.25">
      <c r="A1066" s="9" t="s">
        <v>1107</v>
      </c>
      <c r="B1066" s="9" t="s">
        <v>1121</v>
      </c>
      <c r="C1066" s="9" t="s">
        <v>1153</v>
      </c>
      <c r="D1066" s="10">
        <v>44575</v>
      </c>
      <c r="E1066" s="16">
        <v>7.3639999999999999</v>
      </c>
      <c r="F1066" s="11">
        <v>196</v>
      </c>
    </row>
    <row r="1067" spans="1:6" x14ac:dyDescent="0.25">
      <c r="A1067" s="9" t="s">
        <v>1119</v>
      </c>
      <c r="B1067" s="9" t="s">
        <v>1110</v>
      </c>
      <c r="C1067" s="9" t="s">
        <v>1139</v>
      </c>
      <c r="D1067" s="10">
        <v>44641</v>
      </c>
      <c r="E1067" s="16">
        <v>6.8179999999999996</v>
      </c>
      <c r="F1067" s="11">
        <v>102</v>
      </c>
    </row>
    <row r="1068" spans="1:6" x14ac:dyDescent="0.25">
      <c r="A1068" s="9" t="s">
        <v>1131</v>
      </c>
      <c r="B1068" s="9" t="s">
        <v>1124</v>
      </c>
      <c r="C1068" s="9" t="s">
        <v>1127</v>
      </c>
      <c r="D1068" s="10">
        <v>44698</v>
      </c>
      <c r="E1068" s="16">
        <v>6.7759999999999998</v>
      </c>
      <c r="F1068" s="11">
        <v>312</v>
      </c>
    </row>
    <row r="1069" spans="1:6" x14ac:dyDescent="0.25">
      <c r="A1069" s="9" t="s">
        <v>1145</v>
      </c>
      <c r="B1069" s="9" t="s">
        <v>1116</v>
      </c>
      <c r="C1069" s="9" t="s">
        <v>1106</v>
      </c>
      <c r="D1069" s="10">
        <v>44781</v>
      </c>
      <c r="E1069" s="16">
        <v>15.099</v>
      </c>
      <c r="F1069" s="11">
        <v>55</v>
      </c>
    </row>
    <row r="1070" spans="1:6" x14ac:dyDescent="0.25">
      <c r="A1070" s="9" t="s">
        <v>1148</v>
      </c>
      <c r="B1070" s="9" t="s">
        <v>1124</v>
      </c>
      <c r="C1070" s="9" t="s">
        <v>1132</v>
      </c>
      <c r="D1070" s="10">
        <v>44677</v>
      </c>
      <c r="E1070" s="16">
        <v>3.6120000000000001</v>
      </c>
      <c r="F1070" s="11">
        <v>82</v>
      </c>
    </row>
    <row r="1071" spans="1:6" x14ac:dyDescent="0.25">
      <c r="A1071" s="9" t="s">
        <v>1148</v>
      </c>
      <c r="B1071" s="9" t="s">
        <v>1110</v>
      </c>
      <c r="C1071" s="9" t="s">
        <v>1153</v>
      </c>
      <c r="D1071" s="10">
        <v>44666</v>
      </c>
      <c r="E1071" s="16">
        <v>3.71</v>
      </c>
      <c r="F1071" s="11">
        <v>260</v>
      </c>
    </row>
    <row r="1072" spans="1:6" x14ac:dyDescent="0.25">
      <c r="A1072" s="9" t="s">
        <v>1112</v>
      </c>
      <c r="B1072" s="9" t="s">
        <v>1124</v>
      </c>
      <c r="C1072" s="9" t="s">
        <v>1125</v>
      </c>
      <c r="D1072" s="10">
        <v>44700</v>
      </c>
      <c r="E1072" s="16">
        <v>6.1109999999999998</v>
      </c>
      <c r="F1072" s="11">
        <v>591</v>
      </c>
    </row>
    <row r="1073" spans="1:6" x14ac:dyDescent="0.25">
      <c r="A1073" s="9" t="s">
        <v>1138</v>
      </c>
      <c r="B1073" s="9" t="s">
        <v>1124</v>
      </c>
      <c r="C1073" s="9" t="s">
        <v>1127</v>
      </c>
      <c r="D1073" s="10">
        <v>44571</v>
      </c>
      <c r="E1073" s="16">
        <v>2.702</v>
      </c>
      <c r="F1073" s="11">
        <v>24</v>
      </c>
    </row>
    <row r="1074" spans="1:6" x14ac:dyDescent="0.25">
      <c r="A1074" s="9" t="s">
        <v>1123</v>
      </c>
      <c r="B1074" s="9" t="s">
        <v>1116</v>
      </c>
      <c r="C1074" s="9" t="s">
        <v>1115</v>
      </c>
      <c r="D1074" s="10">
        <v>44685</v>
      </c>
      <c r="E1074" s="16">
        <v>483</v>
      </c>
      <c r="F1074" s="11">
        <v>228</v>
      </c>
    </row>
    <row r="1075" spans="1:6" x14ac:dyDescent="0.25">
      <c r="A1075" s="9" t="s">
        <v>1131</v>
      </c>
      <c r="B1075" s="9" t="s">
        <v>1124</v>
      </c>
      <c r="C1075" s="9" t="s">
        <v>1139</v>
      </c>
      <c r="D1075" s="10">
        <v>44656</v>
      </c>
      <c r="E1075" s="16">
        <v>5.8869999999999996</v>
      </c>
      <c r="F1075" s="11">
        <v>268</v>
      </c>
    </row>
    <row r="1076" spans="1:6" x14ac:dyDescent="0.25">
      <c r="A1076" s="9" t="s">
        <v>1143</v>
      </c>
      <c r="B1076" s="9" t="s">
        <v>1105</v>
      </c>
      <c r="C1076" s="9" t="s">
        <v>1115</v>
      </c>
      <c r="D1076" s="10">
        <v>44578</v>
      </c>
      <c r="E1076" s="16">
        <v>952</v>
      </c>
      <c r="F1076" s="11">
        <v>68</v>
      </c>
    </row>
    <row r="1077" spans="1:6" x14ac:dyDescent="0.25">
      <c r="A1077" s="9" t="s">
        <v>1131</v>
      </c>
      <c r="B1077" s="9" t="s">
        <v>1105</v>
      </c>
      <c r="C1077" s="9" t="s">
        <v>1134</v>
      </c>
      <c r="D1077" s="10">
        <v>44642</v>
      </c>
      <c r="E1077" s="16">
        <v>10.647</v>
      </c>
      <c r="F1077" s="11">
        <v>173</v>
      </c>
    </row>
    <row r="1078" spans="1:6" x14ac:dyDescent="0.25">
      <c r="A1078" s="9" t="s">
        <v>1149</v>
      </c>
      <c r="B1078" s="9" t="s">
        <v>1110</v>
      </c>
      <c r="C1078" s="9" t="s">
        <v>1139</v>
      </c>
      <c r="D1078" s="10">
        <v>44747</v>
      </c>
      <c r="E1078" s="16">
        <v>6.0549999999999997</v>
      </c>
      <c r="F1078" s="11">
        <v>93</v>
      </c>
    </row>
    <row r="1079" spans="1:6" x14ac:dyDescent="0.25">
      <c r="A1079" s="9" t="s">
        <v>1112</v>
      </c>
      <c r="B1079" s="9" t="s">
        <v>1124</v>
      </c>
      <c r="C1079" s="9" t="s">
        <v>1122</v>
      </c>
      <c r="D1079" s="10">
        <v>44678</v>
      </c>
      <c r="E1079" s="16">
        <v>8.7569999999999997</v>
      </c>
      <c r="F1079" s="11">
        <v>338</v>
      </c>
    </row>
    <row r="1080" spans="1:6" x14ac:dyDescent="0.25">
      <c r="A1080" s="9" t="s">
        <v>1136</v>
      </c>
      <c r="B1080" s="9" t="s">
        <v>1124</v>
      </c>
      <c r="C1080" s="9" t="s">
        <v>1142</v>
      </c>
      <c r="D1080" s="10">
        <v>44785</v>
      </c>
      <c r="E1080" s="16">
        <v>6.0549999999999997</v>
      </c>
      <c r="F1080" s="11">
        <v>73</v>
      </c>
    </row>
    <row r="1081" spans="1:6" x14ac:dyDescent="0.25">
      <c r="A1081" s="9" t="s">
        <v>1109</v>
      </c>
      <c r="B1081" s="9" t="s">
        <v>1102</v>
      </c>
      <c r="C1081" s="9" t="s">
        <v>1151</v>
      </c>
      <c r="D1081" s="10">
        <v>44631</v>
      </c>
      <c r="E1081" s="16">
        <v>721</v>
      </c>
      <c r="F1081" s="11">
        <v>251</v>
      </c>
    </row>
    <row r="1082" spans="1:6" x14ac:dyDescent="0.25">
      <c r="A1082" s="9" t="s">
        <v>1101</v>
      </c>
      <c r="B1082" s="9" t="s">
        <v>1102</v>
      </c>
      <c r="C1082" s="9" t="s">
        <v>1137</v>
      </c>
      <c r="D1082" s="10">
        <v>44694</v>
      </c>
      <c r="E1082" s="16">
        <v>8.5890000000000004</v>
      </c>
      <c r="F1082" s="11">
        <v>229</v>
      </c>
    </row>
    <row r="1083" spans="1:6" x14ac:dyDescent="0.25">
      <c r="A1083" s="9" t="s">
        <v>1138</v>
      </c>
      <c r="B1083" s="9" t="s">
        <v>1121</v>
      </c>
      <c r="C1083" s="9" t="s">
        <v>1111</v>
      </c>
      <c r="D1083" s="10">
        <v>44693</v>
      </c>
      <c r="E1083" s="16">
        <v>11.781000000000001</v>
      </c>
      <c r="F1083" s="11">
        <v>91</v>
      </c>
    </row>
    <row r="1084" spans="1:6" x14ac:dyDescent="0.25">
      <c r="A1084" s="9" t="s">
        <v>1118</v>
      </c>
      <c r="B1084" s="9" t="s">
        <v>1121</v>
      </c>
      <c r="C1084" s="9" t="s">
        <v>1146</v>
      </c>
      <c r="D1084" s="10">
        <v>44573</v>
      </c>
      <c r="E1084" s="16">
        <v>672</v>
      </c>
      <c r="F1084" s="11">
        <v>194</v>
      </c>
    </row>
    <row r="1085" spans="1:6" x14ac:dyDescent="0.25">
      <c r="A1085" s="9" t="s">
        <v>1148</v>
      </c>
      <c r="B1085" s="9" t="s">
        <v>1116</v>
      </c>
      <c r="C1085" s="9" t="s">
        <v>1132</v>
      </c>
      <c r="D1085" s="10">
        <v>44649</v>
      </c>
      <c r="E1085" s="16">
        <v>12.558</v>
      </c>
      <c r="F1085" s="11">
        <v>403</v>
      </c>
    </row>
    <row r="1086" spans="1:6" x14ac:dyDescent="0.25">
      <c r="A1086" s="9" t="s">
        <v>1131</v>
      </c>
      <c r="B1086" s="9" t="s">
        <v>1105</v>
      </c>
      <c r="C1086" s="9" t="s">
        <v>1117</v>
      </c>
      <c r="D1086" s="10">
        <v>44634</v>
      </c>
      <c r="E1086" s="16">
        <v>8.3369999999999997</v>
      </c>
      <c r="F1086" s="11">
        <v>12</v>
      </c>
    </row>
    <row r="1087" spans="1:6" x14ac:dyDescent="0.25">
      <c r="A1087" s="9" t="s">
        <v>1120</v>
      </c>
      <c r="B1087" s="9" t="s">
        <v>1116</v>
      </c>
      <c r="C1087" s="9" t="s">
        <v>1113</v>
      </c>
      <c r="D1087" s="10">
        <v>44705</v>
      </c>
      <c r="E1087" s="16">
        <v>8.1340000000000003</v>
      </c>
      <c r="F1087" s="11">
        <v>195</v>
      </c>
    </row>
    <row r="1088" spans="1:6" x14ac:dyDescent="0.25">
      <c r="A1088" s="9" t="s">
        <v>1138</v>
      </c>
      <c r="B1088" s="9" t="s">
        <v>1124</v>
      </c>
      <c r="C1088" s="9" t="s">
        <v>1130</v>
      </c>
      <c r="D1088" s="10">
        <v>44589</v>
      </c>
      <c r="E1088" s="16">
        <v>8.4909999999999997</v>
      </c>
      <c r="F1088" s="11">
        <v>75</v>
      </c>
    </row>
    <row r="1089" spans="1:6" x14ac:dyDescent="0.25">
      <c r="A1089" s="9" t="s">
        <v>1129</v>
      </c>
      <c r="B1089" s="9" t="s">
        <v>1105</v>
      </c>
      <c r="C1089" s="9" t="s">
        <v>1142</v>
      </c>
      <c r="D1089" s="10">
        <v>44705</v>
      </c>
      <c r="E1089" s="16">
        <v>3.0659999999999998</v>
      </c>
      <c r="F1089" s="11">
        <v>96</v>
      </c>
    </row>
    <row r="1090" spans="1:6" x14ac:dyDescent="0.25">
      <c r="A1090" s="9" t="s">
        <v>1118</v>
      </c>
      <c r="B1090" s="9" t="s">
        <v>1110</v>
      </c>
      <c r="C1090" s="9" t="s">
        <v>1108</v>
      </c>
      <c r="D1090" s="10">
        <v>44792</v>
      </c>
      <c r="E1090" s="16">
        <v>301</v>
      </c>
      <c r="F1090" s="11">
        <v>205</v>
      </c>
    </row>
    <row r="1091" spans="1:6" x14ac:dyDescent="0.25">
      <c r="A1091" s="9" t="s">
        <v>1126</v>
      </c>
      <c r="B1091" s="9" t="s">
        <v>1110</v>
      </c>
      <c r="C1091" s="9" t="s">
        <v>1134</v>
      </c>
      <c r="D1091" s="10">
        <v>44698</v>
      </c>
      <c r="E1091" s="16">
        <v>4.41</v>
      </c>
      <c r="F1091" s="11">
        <v>323</v>
      </c>
    </row>
    <row r="1092" spans="1:6" x14ac:dyDescent="0.25">
      <c r="A1092" s="9" t="s">
        <v>1101</v>
      </c>
      <c r="B1092" s="9" t="s">
        <v>1121</v>
      </c>
      <c r="C1092" s="9" t="s">
        <v>1139</v>
      </c>
      <c r="D1092" s="10">
        <v>44719</v>
      </c>
      <c r="E1092" s="16">
        <v>6.5590000000000002</v>
      </c>
      <c r="F1092" s="11">
        <v>119</v>
      </c>
    </row>
    <row r="1093" spans="1:6" x14ac:dyDescent="0.25">
      <c r="A1093" s="9" t="s">
        <v>1150</v>
      </c>
      <c r="B1093" s="9" t="s">
        <v>1124</v>
      </c>
      <c r="C1093" s="9" t="s">
        <v>1130</v>
      </c>
      <c r="D1093" s="10">
        <v>44768</v>
      </c>
      <c r="E1093" s="16">
        <v>574</v>
      </c>
      <c r="F1093" s="11">
        <v>217</v>
      </c>
    </row>
    <row r="1094" spans="1:6" x14ac:dyDescent="0.25">
      <c r="A1094" s="9" t="s">
        <v>1149</v>
      </c>
      <c r="B1094" s="9" t="s">
        <v>1105</v>
      </c>
      <c r="C1094" s="9" t="s">
        <v>1125</v>
      </c>
      <c r="D1094" s="10">
        <v>44770</v>
      </c>
      <c r="E1094" s="16">
        <v>2.0859999999999999</v>
      </c>
      <c r="F1094" s="11">
        <v>384</v>
      </c>
    </row>
    <row r="1095" spans="1:6" x14ac:dyDescent="0.25">
      <c r="A1095" s="9" t="s">
        <v>1126</v>
      </c>
      <c r="B1095" s="9" t="s">
        <v>1105</v>
      </c>
      <c r="C1095" s="9" t="s">
        <v>1153</v>
      </c>
      <c r="D1095" s="10">
        <v>44704</v>
      </c>
      <c r="E1095" s="16">
        <v>5.0750000000000002</v>
      </c>
      <c r="F1095" s="11">
        <v>344</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F968E-8BFB-4361-B5F9-AFEAAD1EF876}">
  <dimension ref="A1:BB53"/>
  <sheetViews>
    <sheetView topLeftCell="F1" workbookViewId="0">
      <selection activeCell="I30" sqref="I30"/>
    </sheetView>
  </sheetViews>
  <sheetFormatPr defaultRowHeight="15" x14ac:dyDescent="0.25"/>
  <cols>
    <col min="1" max="2" width="21.140625" bestFit="1" customWidth="1"/>
    <col min="4" max="4" width="13.42578125" bestFit="1" customWidth="1"/>
    <col min="5" max="5" width="21.42578125" bestFit="1" customWidth="1"/>
    <col min="6" max="6" width="21.140625" bestFit="1" customWidth="1"/>
    <col min="7" max="8" width="6.5703125" bestFit="1" customWidth="1"/>
    <col min="9" max="9" width="13.42578125" bestFit="1" customWidth="1"/>
    <col min="10" max="10" width="21.42578125" bestFit="1" customWidth="1"/>
    <col min="11" max="13" width="6.5703125" bestFit="1" customWidth="1"/>
    <col min="14" max="14" width="13.42578125" bestFit="1" customWidth="1"/>
    <col min="15" max="15" width="21.140625" bestFit="1" customWidth="1"/>
    <col min="16" max="16" width="6.5703125" bestFit="1" customWidth="1"/>
    <col min="17" max="17" width="13.42578125" bestFit="1" customWidth="1"/>
    <col min="18" max="18" width="21.140625" bestFit="1" customWidth="1"/>
    <col min="19" max="19" width="21.85546875" bestFit="1" customWidth="1"/>
    <col min="20" max="20" width="14.85546875" bestFit="1" customWidth="1"/>
    <col min="21" max="21" width="21.42578125" bestFit="1" customWidth="1"/>
    <col min="22" max="24" width="7.5703125" bestFit="1" customWidth="1"/>
    <col min="25" max="25" width="6.5703125" bestFit="1" customWidth="1"/>
    <col min="26" max="26" width="7.5703125" bestFit="1" customWidth="1"/>
    <col min="27" max="27" width="21.85546875" bestFit="1" customWidth="1"/>
    <col min="28" max="28" width="14.85546875" bestFit="1" customWidth="1"/>
    <col min="29" max="29" width="19.85546875" bestFit="1" customWidth="1"/>
    <col min="30" max="30" width="14.85546875" bestFit="1" customWidth="1"/>
    <col min="31" max="31" width="21.42578125" bestFit="1" customWidth="1"/>
    <col min="32" max="32" width="7.5703125" bestFit="1" customWidth="1"/>
    <col min="33" max="33" width="10.140625" bestFit="1" customWidth="1"/>
    <col min="34" max="34" width="7.5703125" bestFit="1" customWidth="1"/>
    <col min="35" max="36" width="6.5703125" bestFit="1" customWidth="1"/>
    <col min="37" max="37" width="10.140625" bestFit="1" customWidth="1"/>
    <col min="38" max="38" width="8.5703125" bestFit="1" customWidth="1"/>
    <col min="39" max="39" width="7.5703125" bestFit="1" customWidth="1"/>
    <col min="40" max="40" width="19.85546875" bestFit="1" customWidth="1"/>
    <col min="41" max="41" width="13.42578125" bestFit="1" customWidth="1"/>
    <col min="42" max="42" width="14.85546875" bestFit="1" customWidth="1"/>
    <col min="43" max="44" width="8.5703125" bestFit="1" customWidth="1"/>
    <col min="45" max="45" width="7.5703125" bestFit="1" customWidth="1"/>
    <col min="46" max="46" width="8.5703125" bestFit="1" customWidth="1"/>
    <col min="47" max="47" width="7.5703125" bestFit="1" customWidth="1"/>
    <col min="48" max="48" width="8.5703125" bestFit="1" customWidth="1"/>
    <col min="49" max="51" width="6.5703125" bestFit="1" customWidth="1"/>
    <col min="52" max="52" width="7.5703125" bestFit="1" customWidth="1"/>
    <col min="53" max="53" width="19.85546875" bestFit="1" customWidth="1"/>
    <col min="54" max="54" width="14.85546875" bestFit="1" customWidth="1"/>
    <col min="55" max="55" width="8.5703125" bestFit="1" customWidth="1"/>
    <col min="56" max="59" width="7.5703125" bestFit="1" customWidth="1"/>
    <col min="60" max="60" width="8.5703125" bestFit="1" customWidth="1"/>
    <col min="61" max="63" width="7.5703125" bestFit="1" customWidth="1"/>
    <col min="64" max="64" width="8.5703125" bestFit="1" customWidth="1"/>
    <col min="65" max="65" width="19.85546875" bestFit="1" customWidth="1"/>
    <col min="66" max="66" width="14.85546875" bestFit="1" customWidth="1"/>
    <col min="67" max="67" width="8.5703125" bestFit="1" customWidth="1"/>
    <col min="68" max="68" width="7.5703125" bestFit="1" customWidth="1"/>
    <col min="69" max="69" width="8.5703125" bestFit="1" customWidth="1"/>
    <col min="70" max="70" width="7.5703125" bestFit="1" customWidth="1"/>
    <col min="71" max="72" width="10.140625" bestFit="1" customWidth="1"/>
    <col min="73" max="74" width="7.5703125" bestFit="1" customWidth="1"/>
    <col min="75" max="75" width="8.5703125" bestFit="1" customWidth="1"/>
    <col min="76" max="76" width="21.85546875" bestFit="1" customWidth="1"/>
    <col min="77" max="77" width="24.5703125" bestFit="1" customWidth="1"/>
    <col min="78" max="78" width="6.5703125" bestFit="1" customWidth="1"/>
    <col min="79" max="79" width="13.42578125" bestFit="1" customWidth="1"/>
    <col min="80" max="80" width="14.85546875" bestFit="1" customWidth="1"/>
    <col min="81" max="81" width="21.42578125" bestFit="1" customWidth="1"/>
    <col min="82" max="82" width="7.5703125" bestFit="1" customWidth="1"/>
    <col min="83" max="83" width="8.5703125" bestFit="1" customWidth="1"/>
    <col min="84" max="85" width="7.5703125" bestFit="1" customWidth="1"/>
    <col min="86" max="86" width="6.5703125" bestFit="1" customWidth="1"/>
    <col min="87" max="87" width="8.5703125" bestFit="1" customWidth="1"/>
    <col min="88" max="88" width="7.5703125" bestFit="1" customWidth="1"/>
    <col min="89" max="89" width="6.5703125" bestFit="1" customWidth="1"/>
    <col min="90" max="90" width="8.5703125" bestFit="1" customWidth="1"/>
    <col min="91" max="91" width="7.5703125" bestFit="1" customWidth="1"/>
    <col min="92" max="93" width="8.5703125" bestFit="1" customWidth="1"/>
    <col min="94" max="94" width="7.5703125" bestFit="1" customWidth="1"/>
    <col min="95" max="95" width="6.5703125" bestFit="1" customWidth="1"/>
    <col min="96" max="96" width="8.5703125" bestFit="1" customWidth="1"/>
    <col min="97" max="97" width="7.5703125" bestFit="1" customWidth="1"/>
    <col min="98" max="98" width="8.5703125" bestFit="1" customWidth="1"/>
    <col min="99" max="101" width="7.5703125" bestFit="1" customWidth="1"/>
    <col min="102" max="102" width="8.5703125" bestFit="1" customWidth="1"/>
    <col min="103" max="110" width="7.5703125" bestFit="1" customWidth="1"/>
    <col min="111" max="112" width="8.5703125" bestFit="1" customWidth="1"/>
    <col min="113" max="113" width="6.5703125" bestFit="1" customWidth="1"/>
    <col min="114" max="116" width="7.5703125" bestFit="1" customWidth="1"/>
    <col min="117" max="118" width="8.5703125" bestFit="1" customWidth="1"/>
    <col min="119" max="119" width="7.5703125" bestFit="1" customWidth="1"/>
    <col min="120" max="120" width="10.140625" bestFit="1" customWidth="1"/>
    <col min="121" max="121" width="7.5703125" bestFit="1" customWidth="1"/>
    <col min="122" max="122" width="8.5703125" bestFit="1" customWidth="1"/>
    <col min="123" max="123" width="7.5703125" bestFit="1" customWidth="1"/>
    <col min="124" max="124" width="8.5703125" bestFit="1" customWidth="1"/>
    <col min="125" max="125" width="6.5703125" bestFit="1" customWidth="1"/>
    <col min="126" max="129" width="7.5703125" bestFit="1" customWidth="1"/>
    <col min="130" max="130" width="6.5703125" bestFit="1" customWidth="1"/>
    <col min="131" max="131" width="7.5703125" bestFit="1" customWidth="1"/>
    <col min="132" max="132" width="8.5703125" bestFit="1" customWidth="1"/>
    <col min="133" max="133" width="10.140625" bestFit="1" customWidth="1"/>
    <col min="134" max="137" width="7.5703125" bestFit="1" customWidth="1"/>
    <col min="138" max="139" width="6.5703125" bestFit="1" customWidth="1"/>
    <col min="140" max="140" width="10.140625" bestFit="1" customWidth="1"/>
    <col min="141" max="142" width="7.5703125" bestFit="1" customWidth="1"/>
    <col min="143" max="144" width="8.5703125" bestFit="1" customWidth="1"/>
    <col min="145" max="146" width="7.5703125" bestFit="1" customWidth="1"/>
    <col min="147" max="147" width="6.5703125" bestFit="1" customWidth="1"/>
    <col min="148" max="152" width="8.5703125" bestFit="1" customWidth="1"/>
    <col min="153" max="153" width="7.5703125" bestFit="1" customWidth="1"/>
    <col min="154" max="154" width="8.5703125" bestFit="1" customWidth="1"/>
    <col min="155" max="156" width="7.5703125" bestFit="1" customWidth="1"/>
    <col min="157" max="157" width="8.5703125" bestFit="1" customWidth="1"/>
    <col min="158" max="158" width="7.5703125" bestFit="1" customWidth="1"/>
    <col min="159" max="159" width="8.5703125" bestFit="1" customWidth="1"/>
    <col min="160" max="160" width="10.140625" bestFit="1" customWidth="1"/>
    <col min="161" max="161" width="7.5703125" bestFit="1" customWidth="1"/>
    <col min="162" max="163" width="8.5703125" bestFit="1" customWidth="1"/>
    <col min="164" max="164" width="7.5703125" bestFit="1" customWidth="1"/>
    <col min="165" max="165" width="8.5703125" bestFit="1" customWidth="1"/>
    <col min="166" max="166" width="6.5703125" bestFit="1" customWidth="1"/>
    <col min="167" max="167" width="7.5703125" bestFit="1" customWidth="1"/>
    <col min="168" max="168" width="8.5703125" bestFit="1" customWidth="1"/>
    <col min="169" max="169" width="7.5703125" bestFit="1" customWidth="1"/>
    <col min="170" max="170" width="8.5703125" bestFit="1" customWidth="1"/>
    <col min="171" max="171" width="7.5703125" bestFit="1" customWidth="1"/>
    <col min="172" max="172" width="8.5703125" bestFit="1" customWidth="1"/>
    <col min="173" max="174" width="7.5703125" bestFit="1" customWidth="1"/>
    <col min="175" max="175" width="6.5703125" bestFit="1" customWidth="1"/>
    <col min="176" max="176" width="8.5703125" bestFit="1" customWidth="1"/>
    <col min="177" max="181" width="7.5703125" bestFit="1" customWidth="1"/>
    <col min="182" max="183" width="8.5703125" bestFit="1" customWidth="1"/>
    <col min="184" max="184" width="6.5703125" bestFit="1" customWidth="1"/>
    <col min="185" max="186" width="7.5703125" bestFit="1" customWidth="1"/>
    <col min="187" max="187" width="8.5703125" bestFit="1" customWidth="1"/>
    <col min="188" max="189" width="7.5703125" bestFit="1" customWidth="1"/>
    <col min="190" max="190" width="6.5703125" bestFit="1" customWidth="1"/>
    <col min="191" max="197" width="7.5703125" bestFit="1" customWidth="1"/>
    <col min="198" max="198" width="8.5703125" bestFit="1" customWidth="1"/>
    <col min="199" max="199" width="6.5703125" bestFit="1" customWidth="1"/>
    <col min="200" max="202" width="7.5703125" bestFit="1" customWidth="1"/>
    <col min="203" max="204" width="6.5703125" bestFit="1" customWidth="1"/>
    <col min="205" max="205" width="8.5703125" bestFit="1" customWidth="1"/>
    <col min="206" max="207" width="7.5703125" bestFit="1" customWidth="1"/>
    <col min="208" max="208" width="6.5703125" bestFit="1" customWidth="1"/>
    <col min="209" max="209" width="7.5703125" bestFit="1" customWidth="1"/>
    <col min="210" max="210" width="6.5703125" bestFit="1" customWidth="1"/>
    <col min="211" max="211" width="7.5703125" bestFit="1" customWidth="1"/>
    <col min="212" max="213" width="6.5703125" bestFit="1" customWidth="1"/>
    <col min="214" max="217" width="8.5703125" bestFit="1" customWidth="1"/>
    <col min="218" max="218" width="7.5703125" bestFit="1" customWidth="1"/>
    <col min="219" max="219" width="6.5703125" bestFit="1" customWidth="1"/>
    <col min="220" max="220" width="8.5703125" bestFit="1" customWidth="1"/>
    <col min="221" max="222" width="7.5703125" bestFit="1" customWidth="1"/>
    <col min="223" max="223" width="8.5703125" bestFit="1" customWidth="1"/>
    <col min="224" max="225" width="6.5703125" bestFit="1" customWidth="1"/>
    <col min="226" max="226" width="7.5703125" bestFit="1" customWidth="1"/>
    <col min="227" max="227" width="8.5703125" bestFit="1" customWidth="1"/>
    <col min="228" max="231" width="6.5703125" bestFit="1" customWidth="1"/>
    <col min="232" max="233" width="8.5703125" bestFit="1" customWidth="1"/>
    <col min="234" max="235" width="7.5703125" bestFit="1" customWidth="1"/>
    <col min="236" max="238" width="8.5703125" bestFit="1" customWidth="1"/>
    <col min="239" max="242" width="7.5703125" bestFit="1" customWidth="1"/>
    <col min="243" max="243" width="8.5703125" bestFit="1" customWidth="1"/>
    <col min="244" max="245" width="7.5703125" bestFit="1" customWidth="1"/>
    <col min="246" max="246" width="6.5703125" bestFit="1" customWidth="1"/>
    <col min="247" max="247" width="7.5703125" bestFit="1" customWidth="1"/>
    <col min="248" max="252" width="6.5703125" bestFit="1" customWidth="1"/>
    <col min="253" max="253" width="8.5703125" bestFit="1" customWidth="1"/>
    <col min="254" max="254" width="6.5703125" bestFit="1" customWidth="1"/>
    <col min="255" max="255" width="8.5703125" bestFit="1" customWidth="1"/>
    <col min="256" max="258" width="7.5703125" bestFit="1" customWidth="1"/>
    <col min="259" max="260" width="6.5703125" bestFit="1" customWidth="1"/>
    <col min="261" max="261" width="8.5703125" bestFit="1" customWidth="1"/>
    <col min="262" max="263" width="6.5703125" bestFit="1" customWidth="1"/>
    <col min="264" max="264" width="7.5703125" bestFit="1" customWidth="1"/>
    <col min="265" max="266" width="8.5703125" bestFit="1" customWidth="1"/>
    <col min="267" max="267" width="6.5703125" bestFit="1" customWidth="1"/>
    <col min="268" max="270" width="7.5703125" bestFit="1" customWidth="1"/>
    <col min="271" max="271" width="6.5703125" bestFit="1" customWidth="1"/>
    <col min="272" max="272" width="8.5703125" bestFit="1" customWidth="1"/>
    <col min="273" max="273" width="7.5703125" bestFit="1" customWidth="1"/>
    <col min="274" max="274" width="6.5703125" bestFit="1" customWidth="1"/>
    <col min="275" max="275" width="7.5703125" bestFit="1" customWidth="1"/>
    <col min="276" max="276" width="8.5703125" bestFit="1" customWidth="1"/>
    <col min="277" max="277" width="6.5703125" bestFit="1" customWidth="1"/>
    <col min="278" max="278" width="7.5703125" bestFit="1" customWidth="1"/>
    <col min="279" max="279" width="8.5703125" bestFit="1" customWidth="1"/>
    <col min="280" max="280" width="6.5703125" bestFit="1" customWidth="1"/>
    <col min="281" max="282" width="7.5703125" bestFit="1" customWidth="1"/>
    <col min="283" max="285" width="6.5703125" bestFit="1" customWidth="1"/>
    <col min="286" max="286" width="7.5703125" bestFit="1" customWidth="1"/>
    <col min="287" max="288" width="6.5703125" bestFit="1" customWidth="1"/>
    <col min="289" max="289" width="7.5703125" bestFit="1" customWidth="1"/>
    <col min="290" max="291" width="6.5703125" bestFit="1" customWidth="1"/>
    <col min="292" max="292" width="7.5703125" bestFit="1" customWidth="1"/>
    <col min="293" max="293" width="6.5703125" bestFit="1" customWidth="1"/>
    <col min="294" max="294" width="7.5703125" bestFit="1" customWidth="1"/>
    <col min="295" max="301" width="6.5703125" bestFit="1" customWidth="1"/>
    <col min="302" max="302" width="8.5703125" bestFit="1" customWidth="1"/>
    <col min="303" max="303" width="6.5703125" bestFit="1" customWidth="1"/>
    <col min="304" max="304" width="8.5703125" bestFit="1" customWidth="1"/>
    <col min="305" max="305" width="6.5703125" bestFit="1" customWidth="1"/>
    <col min="306" max="307" width="7.5703125" bestFit="1" customWidth="1"/>
    <col min="308" max="308" width="8.5703125" bestFit="1" customWidth="1"/>
    <col min="309" max="311" width="6.5703125" bestFit="1" customWidth="1"/>
    <col min="312" max="312" width="8.5703125" bestFit="1" customWidth="1"/>
    <col min="313" max="313" width="6.5703125" bestFit="1" customWidth="1"/>
    <col min="314" max="314" width="7.5703125" bestFit="1" customWidth="1"/>
    <col min="315" max="315" width="6.5703125" bestFit="1" customWidth="1"/>
    <col min="316" max="316" width="7.5703125" bestFit="1" customWidth="1"/>
    <col min="317" max="317" width="6.5703125" bestFit="1" customWidth="1"/>
    <col min="318" max="318" width="7.5703125" bestFit="1" customWidth="1"/>
    <col min="319" max="320" width="6.5703125" bestFit="1" customWidth="1"/>
    <col min="321" max="324" width="7.5703125" bestFit="1" customWidth="1"/>
    <col min="325" max="325" width="6.5703125" bestFit="1" customWidth="1"/>
    <col min="326" max="326" width="7.5703125" bestFit="1" customWidth="1"/>
    <col min="327" max="327" width="8.5703125" bestFit="1" customWidth="1"/>
    <col min="328" max="329" width="7.5703125" bestFit="1" customWidth="1"/>
    <col min="330" max="330" width="6.5703125" bestFit="1" customWidth="1"/>
    <col min="331" max="331" width="7.5703125" bestFit="1" customWidth="1"/>
    <col min="332" max="335" width="6.5703125" bestFit="1" customWidth="1"/>
    <col min="336" max="336" width="7.5703125" bestFit="1" customWidth="1"/>
    <col min="337" max="337" width="6.5703125" bestFit="1" customWidth="1"/>
    <col min="338" max="338" width="7.5703125" bestFit="1" customWidth="1"/>
    <col min="339" max="341" width="6.5703125" bestFit="1" customWidth="1"/>
    <col min="342" max="342" width="7.5703125" bestFit="1" customWidth="1"/>
    <col min="343" max="344" width="6.5703125" bestFit="1" customWidth="1"/>
    <col min="345" max="345" width="8.5703125" bestFit="1" customWidth="1"/>
    <col min="346" max="347" width="6.5703125" bestFit="1" customWidth="1"/>
    <col min="348" max="348" width="7.5703125" bestFit="1" customWidth="1"/>
    <col min="349" max="349" width="6.5703125" bestFit="1" customWidth="1"/>
    <col min="350" max="350" width="7.5703125" bestFit="1" customWidth="1"/>
    <col min="351" max="351" width="8.5703125" bestFit="1" customWidth="1"/>
    <col min="352" max="352" width="7.5703125" bestFit="1" customWidth="1"/>
    <col min="353" max="353" width="6.5703125" bestFit="1" customWidth="1"/>
    <col min="354" max="356" width="7.5703125" bestFit="1" customWidth="1"/>
    <col min="357" max="360" width="6.5703125" bestFit="1" customWidth="1"/>
    <col min="361" max="362" width="7.5703125" bestFit="1" customWidth="1"/>
    <col min="363" max="365" width="6.5703125" bestFit="1" customWidth="1"/>
    <col min="366" max="366" width="8.5703125" bestFit="1" customWidth="1"/>
    <col min="367" max="369" width="6.5703125" bestFit="1" customWidth="1"/>
    <col min="370" max="371" width="7.5703125" bestFit="1" customWidth="1"/>
    <col min="372" max="373" width="6.5703125" bestFit="1" customWidth="1"/>
    <col min="374" max="374" width="7.5703125" bestFit="1" customWidth="1"/>
    <col min="375" max="375" width="6.5703125" bestFit="1" customWidth="1"/>
    <col min="376" max="376" width="8.5703125" bestFit="1" customWidth="1"/>
    <col min="377" max="378" width="6.5703125" bestFit="1" customWidth="1"/>
    <col min="379" max="379" width="7.5703125" bestFit="1" customWidth="1"/>
    <col min="380" max="381" width="6.5703125" bestFit="1" customWidth="1"/>
    <col min="382" max="382" width="8.5703125" bestFit="1" customWidth="1"/>
    <col min="383" max="384" width="6.5703125" bestFit="1" customWidth="1"/>
    <col min="385" max="385" width="7.5703125" bestFit="1" customWidth="1"/>
    <col min="386" max="387" width="6.5703125" bestFit="1" customWidth="1"/>
    <col min="388" max="388" width="7.5703125" bestFit="1" customWidth="1"/>
    <col min="389" max="402" width="6.5703125" bestFit="1" customWidth="1"/>
    <col min="403" max="403" width="11.28515625" bestFit="1" customWidth="1"/>
    <col min="404" max="603" width="6.5703125" bestFit="1" customWidth="1"/>
    <col min="604" max="763" width="7.5703125" bestFit="1" customWidth="1"/>
    <col min="764" max="831" width="8.5703125" bestFit="1" customWidth="1"/>
    <col min="832" max="832" width="11.28515625" bestFit="1" customWidth="1"/>
  </cols>
  <sheetData>
    <row r="1" spans="1:54" x14ac:dyDescent="0.25">
      <c r="A1" t="s">
        <v>1165</v>
      </c>
      <c r="D1" s="12" t="s">
        <v>1155</v>
      </c>
      <c r="E1" t="s">
        <v>1165</v>
      </c>
      <c r="N1" s="12" t="s">
        <v>1155</v>
      </c>
      <c r="O1" t="s">
        <v>1154</v>
      </c>
      <c r="S1" s="12" t="s">
        <v>1155</v>
      </c>
      <c r="T1" t="s">
        <v>1165</v>
      </c>
      <c r="U1" t="s">
        <v>1166</v>
      </c>
      <c r="AC1" s="12" t="s">
        <v>1155</v>
      </c>
      <c r="AD1" t="s">
        <v>1165</v>
      </c>
      <c r="AE1" t="s">
        <v>1166</v>
      </c>
      <c r="AO1" s="12" t="s">
        <v>1155</v>
      </c>
      <c r="AP1" t="s">
        <v>1165</v>
      </c>
      <c r="BA1" s="12" t="s">
        <v>1155</v>
      </c>
      <c r="BB1" t="s">
        <v>1165</v>
      </c>
    </row>
    <row r="2" spans="1:54" x14ac:dyDescent="0.25">
      <c r="A2" s="18">
        <v>63945.805000000029</v>
      </c>
      <c r="D2" s="13" t="s">
        <v>1157</v>
      </c>
      <c r="E2" s="18">
        <v>7602.391999999998</v>
      </c>
      <c r="N2" s="13" t="s">
        <v>1110</v>
      </c>
      <c r="O2" s="20">
        <v>205</v>
      </c>
      <c r="S2" s="13" t="s">
        <v>1147</v>
      </c>
      <c r="T2" s="18">
        <v>290.43700000000007</v>
      </c>
      <c r="U2" s="3">
        <v>6464</v>
      </c>
      <c r="AC2" s="13" t="s">
        <v>1144</v>
      </c>
      <c r="AD2" s="18">
        <v>5073.9430000000011</v>
      </c>
      <c r="AE2" s="3">
        <v>8702</v>
      </c>
      <c r="AO2" s="13" t="s">
        <v>1110</v>
      </c>
      <c r="AP2" s="18">
        <v>14312.178999999998</v>
      </c>
      <c r="BA2" s="13" t="s">
        <v>1144</v>
      </c>
      <c r="BB2" s="18">
        <v>5073.9430000000011</v>
      </c>
    </row>
    <row r="3" spans="1:54" x14ac:dyDescent="0.25">
      <c r="D3" s="13" t="s">
        <v>1158</v>
      </c>
      <c r="E3" s="18">
        <v>4300.7719999999999</v>
      </c>
      <c r="N3" s="13" t="s">
        <v>1105</v>
      </c>
      <c r="O3" s="20">
        <v>184</v>
      </c>
      <c r="S3" s="13" t="s">
        <v>1103</v>
      </c>
      <c r="T3" s="18">
        <v>346.90599999999995</v>
      </c>
      <c r="U3" s="3">
        <v>8207</v>
      </c>
      <c r="AC3" s="13" t="s">
        <v>1133</v>
      </c>
      <c r="AD3" s="18">
        <v>4887.7849999999999</v>
      </c>
      <c r="AE3" s="3">
        <v>7074</v>
      </c>
      <c r="AO3" s="13" t="s">
        <v>1124</v>
      </c>
      <c r="AP3" s="18">
        <v>9543.3100000000031</v>
      </c>
      <c r="BA3" s="13" t="s">
        <v>1133</v>
      </c>
      <c r="BB3" s="18">
        <v>4887.7849999999999</v>
      </c>
    </row>
    <row r="4" spans="1:54" x14ac:dyDescent="0.25">
      <c r="A4" t="s">
        <v>1166</v>
      </c>
      <c r="D4" s="13" t="s">
        <v>1159</v>
      </c>
      <c r="E4" s="18">
        <v>10483.738999999996</v>
      </c>
      <c r="N4" s="13" t="s">
        <v>1121</v>
      </c>
      <c r="O4" s="20">
        <v>179</v>
      </c>
      <c r="S4" s="13" t="s">
        <v>1140</v>
      </c>
      <c r="T4" s="18">
        <v>1254.5609999999995</v>
      </c>
      <c r="U4" s="3">
        <v>7781</v>
      </c>
      <c r="AC4" s="13" t="s">
        <v>1138</v>
      </c>
      <c r="AD4" s="18">
        <v>4830.1259999999993</v>
      </c>
      <c r="AE4" s="3">
        <v>8767</v>
      </c>
      <c r="AO4" s="13" t="s">
        <v>1105</v>
      </c>
      <c r="AP4" s="18">
        <v>11066.769</v>
      </c>
      <c r="BA4" s="13" t="s">
        <v>1138</v>
      </c>
      <c r="BB4" s="18">
        <v>4830.1259999999993</v>
      </c>
    </row>
    <row r="5" spans="1:54" x14ac:dyDescent="0.25">
      <c r="A5" s="3">
        <v>177007</v>
      </c>
      <c r="D5" s="13" t="s">
        <v>1160</v>
      </c>
      <c r="E5" s="18">
        <v>4009.7120000000018</v>
      </c>
      <c r="N5" s="13" t="s">
        <v>1102</v>
      </c>
      <c r="O5" s="20">
        <v>178</v>
      </c>
      <c r="S5" s="13" t="s">
        <v>1151</v>
      </c>
      <c r="T5" s="18">
        <v>1550.3110000000001</v>
      </c>
      <c r="U5" s="3">
        <v>6998</v>
      </c>
      <c r="AC5" s="13" t="s">
        <v>1107</v>
      </c>
      <c r="AD5" s="18">
        <v>4792.101999999999</v>
      </c>
      <c r="AE5" s="3">
        <v>6303</v>
      </c>
      <c r="AO5" s="13" t="s">
        <v>1116</v>
      </c>
      <c r="AP5" s="18">
        <v>8558.8019999999997</v>
      </c>
      <c r="BA5" s="13" t="s">
        <v>1107</v>
      </c>
      <c r="BB5" s="18">
        <v>4792.101999999999</v>
      </c>
    </row>
    <row r="6" spans="1:54" x14ac:dyDescent="0.25">
      <c r="D6" s="13" t="s">
        <v>1161</v>
      </c>
      <c r="E6" s="18">
        <v>7081.5569999999971</v>
      </c>
      <c r="N6" s="13" t="s">
        <v>1124</v>
      </c>
      <c r="O6" s="20">
        <v>175</v>
      </c>
      <c r="S6" s="13" t="s">
        <v>1139</v>
      </c>
      <c r="T6" s="18">
        <v>1566.9080000000001</v>
      </c>
      <c r="U6" s="3">
        <v>8240</v>
      </c>
      <c r="AC6" s="13" t="s">
        <v>1126</v>
      </c>
      <c r="AD6" s="18">
        <v>4699.4149999999991</v>
      </c>
      <c r="AE6" s="3">
        <v>9658</v>
      </c>
      <c r="AO6" s="13" t="s">
        <v>1102</v>
      </c>
      <c r="AP6" s="18">
        <v>6807.0309999999999</v>
      </c>
      <c r="BA6" s="13" t="s">
        <v>1126</v>
      </c>
      <c r="BB6" s="18">
        <v>4699.4149999999991</v>
      </c>
    </row>
    <row r="7" spans="1:54" x14ac:dyDescent="0.25">
      <c r="A7" t="s">
        <v>1154</v>
      </c>
      <c r="D7" s="13" t="s">
        <v>1162</v>
      </c>
      <c r="E7" s="18">
        <v>11816.182000000001</v>
      </c>
      <c r="N7" s="13" t="s">
        <v>1116</v>
      </c>
      <c r="O7" s="20">
        <v>173</v>
      </c>
      <c r="S7" s="13" t="s">
        <v>1142</v>
      </c>
      <c r="T7" s="18">
        <v>1676.136</v>
      </c>
      <c r="U7" s="3">
        <v>6736</v>
      </c>
      <c r="AC7" s="13" t="s">
        <v>1129</v>
      </c>
      <c r="AD7" s="18">
        <v>3215.9820000000004</v>
      </c>
      <c r="AE7" s="3">
        <v>9214</v>
      </c>
      <c r="AO7" s="13" t="s">
        <v>1121</v>
      </c>
      <c r="AP7" s="18">
        <v>13657.714</v>
      </c>
      <c r="BA7" s="13" t="s">
        <v>1129</v>
      </c>
      <c r="BB7" s="18">
        <v>3215.9820000000004</v>
      </c>
    </row>
    <row r="8" spans="1:54" x14ac:dyDescent="0.25">
      <c r="A8" s="20">
        <v>1094</v>
      </c>
      <c r="D8" s="13" t="s">
        <v>1163</v>
      </c>
      <c r="E8" s="18">
        <v>8621.5989999999983</v>
      </c>
      <c r="N8" s="13" t="s">
        <v>1156</v>
      </c>
      <c r="O8" s="20">
        <v>1094</v>
      </c>
      <c r="S8" s="13" t="s">
        <v>1113</v>
      </c>
      <c r="T8" s="18">
        <v>1859.2350000000001</v>
      </c>
      <c r="U8" s="3">
        <v>8127</v>
      </c>
      <c r="AC8" s="13" t="s">
        <v>1104</v>
      </c>
      <c r="AD8" s="18">
        <v>3093.3560000000011</v>
      </c>
      <c r="AE8" s="3">
        <v>6799</v>
      </c>
      <c r="AO8" s="13" t="s">
        <v>1156</v>
      </c>
      <c r="AP8" s="18">
        <v>63945.805</v>
      </c>
      <c r="BA8" s="13" t="s">
        <v>1104</v>
      </c>
      <c r="BB8" s="18">
        <v>3093.3560000000011</v>
      </c>
    </row>
    <row r="9" spans="1:54" x14ac:dyDescent="0.25">
      <c r="D9" s="13" t="s">
        <v>1164</v>
      </c>
      <c r="E9" s="18">
        <v>10029.852000000003</v>
      </c>
      <c r="S9" s="13" t="s">
        <v>1106</v>
      </c>
      <c r="T9" s="18">
        <v>2376.1500000000005</v>
      </c>
      <c r="U9" s="3">
        <v>7793</v>
      </c>
      <c r="AC9" s="13" t="s">
        <v>1143</v>
      </c>
      <c r="AD9" s="18">
        <v>3047.8979999999997</v>
      </c>
      <c r="AE9" s="3">
        <v>6448</v>
      </c>
      <c r="BA9" s="13" t="s">
        <v>1143</v>
      </c>
      <c r="BB9" s="18">
        <v>3047.8979999999997</v>
      </c>
    </row>
    <row r="10" spans="1:54" x14ac:dyDescent="0.25">
      <c r="A10" s="1" t="s">
        <v>1167</v>
      </c>
      <c r="D10" s="13" t="s">
        <v>1156</v>
      </c>
      <c r="E10" s="18">
        <v>63945.804999999993</v>
      </c>
      <c r="S10" s="13" t="s">
        <v>1152</v>
      </c>
      <c r="T10" s="18">
        <v>2434.3830000000007</v>
      </c>
      <c r="U10" s="3">
        <v>8717</v>
      </c>
      <c r="AC10" s="13" t="s">
        <v>1135</v>
      </c>
      <c r="AD10" s="18">
        <v>2869.5450000000001</v>
      </c>
      <c r="AE10" s="3">
        <v>5849</v>
      </c>
      <c r="BA10" s="13" t="s">
        <v>1135</v>
      </c>
      <c r="BB10" s="18">
        <v>2869.5450000000001</v>
      </c>
    </row>
    <row r="11" spans="1:54" x14ac:dyDescent="0.25">
      <c r="A11" s="19">
        <f>GETPIVOTDATA("Amount",$A$1)/GETPIVOTDATA("Sales Person",$A$7)</f>
        <v>58.451375685557615</v>
      </c>
      <c r="S11" s="13" t="s">
        <v>1111</v>
      </c>
      <c r="T11" s="18">
        <v>2853.1859999999997</v>
      </c>
      <c r="U11" s="3">
        <v>8810</v>
      </c>
      <c r="AC11" s="13" t="s">
        <v>1150</v>
      </c>
      <c r="AD11" s="18">
        <v>2726.492999999999</v>
      </c>
      <c r="AE11" s="3">
        <v>7522</v>
      </c>
      <c r="BA11" s="13" t="s">
        <v>1150</v>
      </c>
      <c r="BB11" s="18">
        <v>2726.492999999999</v>
      </c>
    </row>
    <row r="12" spans="1:54" x14ac:dyDescent="0.25">
      <c r="D12" s="12" t="s">
        <v>1155</v>
      </c>
      <c r="E12" t="s">
        <v>1166</v>
      </c>
      <c r="S12" s="13" t="s">
        <v>1134</v>
      </c>
      <c r="T12" s="18">
        <v>3013.7309999999998</v>
      </c>
      <c r="U12" s="3">
        <v>8685</v>
      </c>
      <c r="AC12" s="13" t="s">
        <v>1128</v>
      </c>
      <c r="AD12" s="18">
        <v>2448.5509999999995</v>
      </c>
      <c r="AE12" s="3">
        <v>8043</v>
      </c>
      <c r="BA12" s="13" t="s">
        <v>1128</v>
      </c>
      <c r="BB12" s="18">
        <v>2448.5509999999995</v>
      </c>
    </row>
    <row r="13" spans="1:54" x14ac:dyDescent="0.25">
      <c r="D13" s="13" t="s">
        <v>1157</v>
      </c>
      <c r="E13" s="3">
        <v>27535</v>
      </c>
      <c r="S13" s="13" t="s">
        <v>1125</v>
      </c>
      <c r="T13" s="18">
        <v>3151.6029999999992</v>
      </c>
      <c r="U13" s="3">
        <v>8757</v>
      </c>
      <c r="AC13" s="13" t="s">
        <v>1119</v>
      </c>
      <c r="AD13" s="18">
        <v>2364.0890000000009</v>
      </c>
      <c r="AE13" s="3">
        <v>4297</v>
      </c>
      <c r="BA13" s="13" t="s">
        <v>1119</v>
      </c>
      <c r="BB13" s="18">
        <v>2364.0890000000009</v>
      </c>
    </row>
    <row r="14" spans="1:54" x14ac:dyDescent="0.25">
      <c r="D14" s="13" t="s">
        <v>1158</v>
      </c>
      <c r="E14" s="3">
        <v>18015</v>
      </c>
      <c r="S14" s="13" t="s">
        <v>1153</v>
      </c>
      <c r="T14" s="18">
        <v>3197.6210000000001</v>
      </c>
      <c r="U14" s="3">
        <v>8015</v>
      </c>
      <c r="AC14" s="13" t="s">
        <v>1141</v>
      </c>
      <c r="AD14" s="18">
        <v>2348.3110000000001</v>
      </c>
      <c r="AE14" s="3">
        <v>4033</v>
      </c>
      <c r="BA14" s="13" t="s">
        <v>1141</v>
      </c>
      <c r="BB14" s="18">
        <v>2348.3110000000001</v>
      </c>
    </row>
    <row r="15" spans="1:54" x14ac:dyDescent="0.25">
      <c r="D15" s="13" t="s">
        <v>1159</v>
      </c>
      <c r="E15" s="3">
        <v>19561</v>
      </c>
      <c r="S15" s="13" t="s">
        <v>1108</v>
      </c>
      <c r="T15" s="18">
        <v>3471.6919999999996</v>
      </c>
      <c r="U15" s="3">
        <v>8304</v>
      </c>
      <c r="AC15" s="13" t="s">
        <v>1114</v>
      </c>
      <c r="AD15" s="18">
        <v>2224.4949999999999</v>
      </c>
      <c r="AE15" s="3">
        <v>6677</v>
      </c>
      <c r="BA15" s="13" t="s">
        <v>1114</v>
      </c>
      <c r="BB15" s="18">
        <v>2224.4949999999999</v>
      </c>
    </row>
    <row r="16" spans="1:54" x14ac:dyDescent="0.25">
      <c r="D16" s="13" t="s">
        <v>1160</v>
      </c>
      <c r="E16" s="3">
        <v>21003</v>
      </c>
      <c r="S16" s="13" t="s">
        <v>1137</v>
      </c>
      <c r="T16" s="18">
        <v>3566.8359999999998</v>
      </c>
      <c r="U16" s="3">
        <v>7738</v>
      </c>
      <c r="AC16" s="13" t="s">
        <v>1118</v>
      </c>
      <c r="AD16" s="18">
        <v>2158.9679999999998</v>
      </c>
      <c r="AE16" s="3">
        <v>8102</v>
      </c>
      <c r="BA16" s="13" t="s">
        <v>1118</v>
      </c>
      <c r="BB16" s="18">
        <v>2158.9679999999998</v>
      </c>
    </row>
    <row r="17" spans="1:54" x14ac:dyDescent="0.25">
      <c r="D17" s="13" t="s">
        <v>1161</v>
      </c>
      <c r="E17" s="3">
        <v>21856</v>
      </c>
      <c r="S17" s="13" t="s">
        <v>1115</v>
      </c>
      <c r="T17" s="18">
        <v>4114.4739999999993</v>
      </c>
      <c r="U17" s="3">
        <v>8257</v>
      </c>
      <c r="AC17" s="13" t="s">
        <v>1123</v>
      </c>
      <c r="AD17" s="18">
        <v>2088.7020000000002</v>
      </c>
      <c r="AE17" s="3">
        <v>5980</v>
      </c>
      <c r="BA17" s="13" t="s">
        <v>1123</v>
      </c>
      <c r="BB17" s="18">
        <v>2088.7020000000002</v>
      </c>
    </row>
    <row r="18" spans="1:54" x14ac:dyDescent="0.25">
      <c r="D18" s="13" t="s">
        <v>1162</v>
      </c>
      <c r="E18" s="3">
        <v>26260</v>
      </c>
      <c r="S18" s="13" t="s">
        <v>1117</v>
      </c>
      <c r="T18" s="18">
        <v>4145.9039999999995</v>
      </c>
      <c r="U18" s="3">
        <v>9792</v>
      </c>
      <c r="AC18" s="13" t="s">
        <v>1109</v>
      </c>
      <c r="AD18" s="18">
        <v>2002.8819999999996</v>
      </c>
      <c r="AE18" s="3">
        <v>7661</v>
      </c>
      <c r="BA18" s="13" t="s">
        <v>1109</v>
      </c>
      <c r="BB18" s="18">
        <v>2002.8819999999996</v>
      </c>
    </row>
    <row r="19" spans="1:54" x14ac:dyDescent="0.25">
      <c r="D19" s="13" t="s">
        <v>1163</v>
      </c>
      <c r="E19" s="3">
        <v>22876</v>
      </c>
      <c r="S19" s="13" t="s">
        <v>1122</v>
      </c>
      <c r="T19" s="18">
        <v>4158.2380000000003</v>
      </c>
      <c r="U19" s="3">
        <v>7732</v>
      </c>
      <c r="AC19" s="13" t="s">
        <v>1149</v>
      </c>
      <c r="AD19" s="18">
        <v>1994.8179999999998</v>
      </c>
      <c r="AE19" s="3">
        <v>6853</v>
      </c>
      <c r="BA19" s="13" t="s">
        <v>1149</v>
      </c>
      <c r="BB19" s="18">
        <v>1994.8179999999998</v>
      </c>
    </row>
    <row r="20" spans="1:54" x14ac:dyDescent="0.25">
      <c r="D20" s="13" t="s">
        <v>1164</v>
      </c>
      <c r="E20" s="3">
        <v>19901</v>
      </c>
      <c r="S20" s="13" t="s">
        <v>1146</v>
      </c>
      <c r="T20" s="18">
        <v>4488.5120000000006</v>
      </c>
      <c r="U20" s="3">
        <v>7115</v>
      </c>
      <c r="AC20" s="13" t="s">
        <v>1145</v>
      </c>
      <c r="AD20" s="18">
        <v>1504.3069999999998</v>
      </c>
      <c r="AE20" s="3">
        <v>5374</v>
      </c>
      <c r="BA20" s="13" t="s">
        <v>1145</v>
      </c>
      <c r="BB20" s="18">
        <v>1504.3069999999998</v>
      </c>
    </row>
    <row r="21" spans="1:54" x14ac:dyDescent="0.25">
      <c r="D21" s="13" t="s">
        <v>1156</v>
      </c>
      <c r="E21" s="3">
        <v>177007</v>
      </c>
      <c r="S21" s="13" t="s">
        <v>1127</v>
      </c>
      <c r="T21" s="18">
        <v>4578.3289999999997</v>
      </c>
      <c r="U21" s="3">
        <v>8660</v>
      </c>
      <c r="AC21" s="13" t="s">
        <v>1120</v>
      </c>
      <c r="AD21" s="18">
        <v>1223.7470000000005</v>
      </c>
      <c r="AE21" s="3">
        <v>6366</v>
      </c>
      <c r="BA21" s="13" t="s">
        <v>1120</v>
      </c>
      <c r="BB21" s="18">
        <v>1223.7470000000005</v>
      </c>
    </row>
    <row r="22" spans="1:54" x14ac:dyDescent="0.25">
      <c r="S22" s="13" t="s">
        <v>1130</v>
      </c>
      <c r="T22" s="18">
        <v>4868.1220000000003</v>
      </c>
      <c r="U22" s="3">
        <v>7749</v>
      </c>
      <c r="AC22" s="13" t="s">
        <v>1112</v>
      </c>
      <c r="AD22" s="18">
        <v>1085.8750000000002</v>
      </c>
      <c r="AE22" s="3">
        <v>8608</v>
      </c>
      <c r="BA22" s="13" t="s">
        <v>1112</v>
      </c>
      <c r="BB22" s="18">
        <v>1085.8750000000002</v>
      </c>
    </row>
    <row r="23" spans="1:54" x14ac:dyDescent="0.25">
      <c r="A23" s="12" t="s">
        <v>1155</v>
      </c>
      <c r="B23" t="s">
        <v>1154</v>
      </c>
      <c r="S23" s="13" t="s">
        <v>1132</v>
      </c>
      <c r="T23" s="18">
        <v>4982.529999999997</v>
      </c>
      <c r="U23" s="3">
        <v>8330</v>
      </c>
      <c r="AC23" s="13" t="s">
        <v>1101</v>
      </c>
      <c r="AD23" s="18">
        <v>1053.1429999999998</v>
      </c>
      <c r="AE23" s="3">
        <v>7246</v>
      </c>
      <c r="BA23" s="13" t="s">
        <v>1101</v>
      </c>
      <c r="BB23" s="18">
        <v>1053.1429999999998</v>
      </c>
    </row>
    <row r="24" spans="1:54" x14ac:dyDescent="0.25">
      <c r="A24" s="13" t="s">
        <v>1144</v>
      </c>
      <c r="B24" s="20">
        <v>54</v>
      </c>
      <c r="S24" s="13" t="s">
        <v>1156</v>
      </c>
      <c r="T24" s="18">
        <v>63945.805000000015</v>
      </c>
      <c r="U24" s="3">
        <v>177007</v>
      </c>
      <c r="AC24" s="13" t="s">
        <v>1131</v>
      </c>
      <c r="AD24" s="18">
        <v>908.40400000000022</v>
      </c>
      <c r="AE24" s="3">
        <v>6899</v>
      </c>
      <c r="BA24" s="13" t="s">
        <v>1131</v>
      </c>
      <c r="BB24" s="18">
        <v>908.40400000000022</v>
      </c>
    </row>
    <row r="25" spans="1:54" x14ac:dyDescent="0.25">
      <c r="A25" s="13" t="s">
        <v>1118</v>
      </c>
      <c r="B25" s="20">
        <v>53</v>
      </c>
      <c r="AC25" s="13" t="s">
        <v>1136</v>
      </c>
      <c r="AD25" s="18">
        <v>825.93</v>
      </c>
      <c r="AE25" s="3">
        <v>7253</v>
      </c>
      <c r="BA25" s="13" t="s">
        <v>1136</v>
      </c>
      <c r="BB25" s="18">
        <v>825.93</v>
      </c>
    </row>
    <row r="26" spans="1:54" x14ac:dyDescent="0.25">
      <c r="A26" s="13" t="s">
        <v>1104</v>
      </c>
      <c r="B26" s="20">
        <v>51</v>
      </c>
      <c r="AC26" s="13" t="s">
        <v>1148</v>
      </c>
      <c r="AD26" s="18">
        <v>476.93799999999999</v>
      </c>
      <c r="AE26" s="3">
        <v>7279</v>
      </c>
      <c r="BA26" s="13" t="s">
        <v>1148</v>
      </c>
      <c r="BB26" s="18">
        <v>476.93799999999999</v>
      </c>
    </row>
    <row r="27" spans="1:54" x14ac:dyDescent="0.25">
      <c r="A27" s="13" t="s">
        <v>1129</v>
      </c>
      <c r="B27" s="20">
        <v>50</v>
      </c>
      <c r="AC27" s="13" t="s">
        <v>1156</v>
      </c>
      <c r="AD27" s="18">
        <v>63945.804999999993</v>
      </c>
      <c r="AE27" s="3">
        <v>177007</v>
      </c>
      <c r="BA27" s="13" t="s">
        <v>1156</v>
      </c>
      <c r="BB27" s="18">
        <v>63945.804999999993</v>
      </c>
    </row>
    <row r="28" spans="1:54" x14ac:dyDescent="0.25">
      <c r="A28" s="13" t="s">
        <v>1112</v>
      </c>
      <c r="B28" s="20">
        <v>49</v>
      </c>
    </row>
    <row r="29" spans="1:54" x14ac:dyDescent="0.25">
      <c r="A29" s="13" t="s">
        <v>1138</v>
      </c>
      <c r="B29" s="20">
        <v>49</v>
      </c>
    </row>
    <row r="30" spans="1:54" x14ac:dyDescent="0.25">
      <c r="A30" s="13" t="s">
        <v>1150</v>
      </c>
      <c r="B30" s="20">
        <v>48</v>
      </c>
      <c r="E30" s="12" t="s">
        <v>1155</v>
      </c>
      <c r="F30" t="s">
        <v>1154</v>
      </c>
      <c r="I30" s="12" t="s">
        <v>1155</v>
      </c>
      <c r="J30" t="s">
        <v>1166</v>
      </c>
    </row>
    <row r="31" spans="1:54" x14ac:dyDescent="0.25">
      <c r="A31" s="13" t="s">
        <v>1126</v>
      </c>
      <c r="B31" s="20">
        <v>47</v>
      </c>
      <c r="E31" s="13" t="s">
        <v>1117</v>
      </c>
      <c r="F31" s="20">
        <v>60</v>
      </c>
      <c r="I31" s="13" t="s">
        <v>1110</v>
      </c>
      <c r="J31" s="3">
        <v>32647</v>
      </c>
    </row>
    <row r="32" spans="1:54" x14ac:dyDescent="0.25">
      <c r="A32" s="13" t="s">
        <v>1107</v>
      </c>
      <c r="B32" s="20">
        <v>47</v>
      </c>
      <c r="E32" s="13" t="s">
        <v>1125</v>
      </c>
      <c r="F32" s="20">
        <v>60</v>
      </c>
      <c r="I32" s="13" t="s">
        <v>1124</v>
      </c>
      <c r="J32" s="3">
        <v>31221</v>
      </c>
    </row>
    <row r="33" spans="1:10" x14ac:dyDescent="0.25">
      <c r="A33" s="13" t="s">
        <v>1133</v>
      </c>
      <c r="B33" s="20">
        <v>46</v>
      </c>
      <c r="E33" s="13" t="s">
        <v>1111</v>
      </c>
      <c r="F33" s="20">
        <v>59</v>
      </c>
      <c r="I33" s="13" t="s">
        <v>1105</v>
      </c>
      <c r="J33" s="3">
        <v>29470</v>
      </c>
    </row>
    <row r="34" spans="1:10" x14ac:dyDescent="0.25">
      <c r="A34" s="13" t="s">
        <v>1148</v>
      </c>
      <c r="B34" s="20">
        <v>45</v>
      </c>
      <c r="E34" s="13" t="s">
        <v>1139</v>
      </c>
      <c r="F34" s="20">
        <v>58</v>
      </c>
      <c r="I34" s="13" t="s">
        <v>1116</v>
      </c>
      <c r="J34" s="3">
        <v>26580</v>
      </c>
    </row>
    <row r="35" spans="1:10" x14ac:dyDescent="0.25">
      <c r="A35" s="13" t="s">
        <v>1128</v>
      </c>
      <c r="B35" s="20">
        <v>45</v>
      </c>
      <c r="E35" s="13" t="s">
        <v>1127</v>
      </c>
      <c r="F35" s="20">
        <v>56</v>
      </c>
      <c r="I35" s="13" t="s">
        <v>1102</v>
      </c>
      <c r="J35" s="3">
        <v>30265</v>
      </c>
    </row>
    <row r="36" spans="1:10" x14ac:dyDescent="0.25">
      <c r="A36" s="13" t="s">
        <v>1136</v>
      </c>
      <c r="B36" s="20">
        <v>45</v>
      </c>
      <c r="E36" s="13" t="s">
        <v>1134</v>
      </c>
      <c r="F36" s="20">
        <v>54</v>
      </c>
      <c r="I36" s="13" t="s">
        <v>1121</v>
      </c>
      <c r="J36" s="3">
        <v>26824</v>
      </c>
    </row>
    <row r="37" spans="1:10" x14ac:dyDescent="0.25">
      <c r="A37" s="13" t="s">
        <v>1131</v>
      </c>
      <c r="B37" s="20">
        <v>43</v>
      </c>
      <c r="E37" s="13" t="s">
        <v>1130</v>
      </c>
      <c r="F37" s="20">
        <v>52</v>
      </c>
      <c r="I37" s="13" t="s">
        <v>1156</v>
      </c>
      <c r="J37" s="3">
        <v>177007</v>
      </c>
    </row>
    <row r="38" spans="1:10" x14ac:dyDescent="0.25">
      <c r="A38" s="13" t="s">
        <v>1101</v>
      </c>
      <c r="B38" s="20">
        <v>43</v>
      </c>
      <c r="E38" s="13" t="s">
        <v>1115</v>
      </c>
      <c r="F38" s="20">
        <v>50</v>
      </c>
    </row>
    <row r="39" spans="1:10" x14ac:dyDescent="0.25">
      <c r="A39" s="13" t="s">
        <v>1120</v>
      </c>
      <c r="B39" s="20">
        <v>43</v>
      </c>
      <c r="E39" s="13" t="s">
        <v>1106</v>
      </c>
      <c r="F39" s="20">
        <v>50</v>
      </c>
    </row>
    <row r="40" spans="1:10" x14ac:dyDescent="0.25">
      <c r="A40" s="13" t="s">
        <v>1114</v>
      </c>
      <c r="B40" s="20">
        <v>43</v>
      </c>
      <c r="E40" s="13" t="s">
        <v>1137</v>
      </c>
      <c r="F40" s="20">
        <v>50</v>
      </c>
    </row>
    <row r="41" spans="1:10" x14ac:dyDescent="0.25">
      <c r="A41" s="13" t="s">
        <v>1123</v>
      </c>
      <c r="B41" s="20">
        <v>41</v>
      </c>
      <c r="E41" s="13" t="s">
        <v>1113</v>
      </c>
      <c r="F41" s="20">
        <v>49</v>
      </c>
    </row>
    <row r="42" spans="1:10" x14ac:dyDescent="0.25">
      <c r="A42" s="13" t="s">
        <v>1143</v>
      </c>
      <c r="B42" s="20">
        <v>39</v>
      </c>
      <c r="E42" s="13" t="s">
        <v>1108</v>
      </c>
      <c r="F42" s="20">
        <v>49</v>
      </c>
    </row>
    <row r="43" spans="1:10" x14ac:dyDescent="0.25">
      <c r="A43" s="13" t="s">
        <v>1109</v>
      </c>
      <c r="B43" s="20">
        <v>39</v>
      </c>
      <c r="E43" s="13" t="s">
        <v>1132</v>
      </c>
      <c r="F43" s="20">
        <v>49</v>
      </c>
    </row>
    <row r="44" spans="1:10" x14ac:dyDescent="0.25">
      <c r="A44" s="13" t="s">
        <v>1135</v>
      </c>
      <c r="B44" s="20">
        <v>38</v>
      </c>
      <c r="E44" s="13" t="s">
        <v>1146</v>
      </c>
      <c r="F44" s="20">
        <v>48</v>
      </c>
    </row>
    <row r="45" spans="1:10" x14ac:dyDescent="0.25">
      <c r="A45" s="13" t="s">
        <v>1149</v>
      </c>
      <c r="B45" s="20">
        <v>36</v>
      </c>
      <c r="E45" s="13" t="s">
        <v>1142</v>
      </c>
      <c r="F45" s="20">
        <v>48</v>
      </c>
    </row>
    <row r="46" spans="1:10" x14ac:dyDescent="0.25">
      <c r="A46" s="13" t="s">
        <v>1141</v>
      </c>
      <c r="B46" s="20">
        <v>34</v>
      </c>
      <c r="E46" s="13" t="s">
        <v>1122</v>
      </c>
      <c r="F46" s="20">
        <v>47</v>
      </c>
    </row>
    <row r="47" spans="1:10" x14ac:dyDescent="0.25">
      <c r="A47" s="13" t="s">
        <v>1119</v>
      </c>
      <c r="B47" s="20">
        <v>34</v>
      </c>
      <c r="E47" s="13" t="s">
        <v>1140</v>
      </c>
      <c r="F47" s="20">
        <v>45</v>
      </c>
    </row>
    <row r="48" spans="1:10" x14ac:dyDescent="0.25">
      <c r="A48" s="13" t="s">
        <v>1145</v>
      </c>
      <c r="B48" s="20">
        <v>32</v>
      </c>
      <c r="E48" s="13" t="s">
        <v>1103</v>
      </c>
      <c r="F48" s="20">
        <v>45</v>
      </c>
    </row>
    <row r="49" spans="1:6" x14ac:dyDescent="0.25">
      <c r="A49" s="13" t="s">
        <v>1156</v>
      </c>
      <c r="B49" s="20">
        <v>1094</v>
      </c>
      <c r="E49" s="13" t="s">
        <v>1152</v>
      </c>
      <c r="F49" s="20">
        <v>43</v>
      </c>
    </row>
    <row r="50" spans="1:6" x14ac:dyDescent="0.25">
      <c r="E50" s="13" t="s">
        <v>1153</v>
      </c>
      <c r="F50" s="20">
        <v>42</v>
      </c>
    </row>
    <row r="51" spans="1:6" x14ac:dyDescent="0.25">
      <c r="E51" s="13" t="s">
        <v>1151</v>
      </c>
      <c r="F51" s="20">
        <v>41</v>
      </c>
    </row>
    <row r="52" spans="1:6" x14ac:dyDescent="0.25">
      <c r="E52" s="13" t="s">
        <v>1147</v>
      </c>
      <c r="F52" s="20">
        <v>39</v>
      </c>
    </row>
    <row r="53" spans="1:6" x14ac:dyDescent="0.25">
      <c r="E53" s="13" t="s">
        <v>1156</v>
      </c>
      <c r="F53" s="20">
        <v>1094</v>
      </c>
    </row>
  </sheetData>
  <pageMargins left="0.7" right="0.7" top="0.75" bottom="0.75" header="0.3" footer="0.3"/>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C8245-7554-41F2-A69B-9E9E705F1103}">
  <dimension ref="A1:L49"/>
  <sheetViews>
    <sheetView tabSelected="1" topLeftCell="A3" workbookViewId="0">
      <selection activeCell="G14" sqref="A1:XFD1048576"/>
    </sheetView>
  </sheetViews>
  <sheetFormatPr defaultRowHeight="15" x14ac:dyDescent="0.25"/>
  <sheetData>
    <row r="1" spans="1:1" x14ac:dyDescent="0.25">
      <c r="A1" s="1" t="s">
        <v>1209</v>
      </c>
    </row>
    <row r="2" spans="1:1" x14ac:dyDescent="0.25">
      <c r="A2" t="s">
        <v>1169</v>
      </c>
    </row>
    <row r="3" spans="1:1" x14ac:dyDescent="0.25">
      <c r="A3" t="s">
        <v>1170</v>
      </c>
    </row>
    <row r="4" spans="1:1" x14ac:dyDescent="0.25">
      <c r="A4" s="1" t="s">
        <v>1168</v>
      </c>
    </row>
    <row r="5" spans="1:1" x14ac:dyDescent="0.25">
      <c r="A5" t="s">
        <v>1171</v>
      </c>
    </row>
    <row r="6" spans="1:1" x14ac:dyDescent="0.25">
      <c r="A6" t="s">
        <v>1172</v>
      </c>
    </row>
    <row r="7" spans="1:1" x14ac:dyDescent="0.25">
      <c r="A7" t="s">
        <v>1180</v>
      </c>
    </row>
    <row r="8" spans="1:1" x14ac:dyDescent="0.25">
      <c r="A8" t="s">
        <v>1181</v>
      </c>
    </row>
    <row r="9" spans="1:1" x14ac:dyDescent="0.25">
      <c r="A9" s="1" t="s">
        <v>1173</v>
      </c>
    </row>
    <row r="10" spans="1:1" x14ac:dyDescent="0.25">
      <c r="A10" t="s">
        <v>1174</v>
      </c>
    </row>
    <row r="11" spans="1:1" x14ac:dyDescent="0.25">
      <c r="A11" t="s">
        <v>1175</v>
      </c>
    </row>
    <row r="12" spans="1:1" x14ac:dyDescent="0.25">
      <c r="A12" t="s">
        <v>1176</v>
      </c>
    </row>
    <row r="13" spans="1:1" x14ac:dyDescent="0.25">
      <c r="A13" s="1" t="s">
        <v>1177</v>
      </c>
    </row>
    <row r="14" spans="1:1" x14ac:dyDescent="0.25">
      <c r="A14" t="s">
        <v>1178</v>
      </c>
    </row>
    <row r="15" spans="1:1" x14ac:dyDescent="0.25">
      <c r="A15" t="s">
        <v>1179</v>
      </c>
    </row>
    <row r="16" spans="1:1" x14ac:dyDescent="0.25">
      <c r="A16" s="1" t="s">
        <v>1182</v>
      </c>
    </row>
    <row r="17" spans="1:1" x14ac:dyDescent="0.25">
      <c r="A17" t="s">
        <v>1183</v>
      </c>
    </row>
    <row r="18" spans="1:1" x14ac:dyDescent="0.25">
      <c r="A18" t="s">
        <v>1184</v>
      </c>
    </row>
    <row r="19" spans="1:1" x14ac:dyDescent="0.25">
      <c r="A19" s="1" t="s">
        <v>1185</v>
      </c>
    </row>
    <row r="20" spans="1:1" x14ac:dyDescent="0.25">
      <c r="A20" t="s">
        <v>1202</v>
      </c>
    </row>
    <row r="21" spans="1:1" x14ac:dyDescent="0.25">
      <c r="A21" t="s">
        <v>1186</v>
      </c>
    </row>
    <row r="22" spans="1:1" x14ac:dyDescent="0.25">
      <c r="A22" s="1" t="s">
        <v>1177</v>
      </c>
    </row>
    <row r="23" spans="1:1" x14ac:dyDescent="0.25">
      <c r="A23" t="s">
        <v>1187</v>
      </c>
    </row>
    <row r="24" spans="1:1" x14ac:dyDescent="0.25">
      <c r="A24" t="s">
        <v>1188</v>
      </c>
    </row>
    <row r="25" spans="1:1" x14ac:dyDescent="0.25">
      <c r="A25" t="s">
        <v>1189</v>
      </c>
    </row>
    <row r="26" spans="1:1" x14ac:dyDescent="0.25">
      <c r="A26" s="1" t="s">
        <v>1190</v>
      </c>
    </row>
    <row r="27" spans="1:1" x14ac:dyDescent="0.25">
      <c r="A27" t="s">
        <v>1191</v>
      </c>
    </row>
    <row r="28" spans="1:1" x14ac:dyDescent="0.25">
      <c r="A28" t="s">
        <v>1192</v>
      </c>
    </row>
    <row r="29" spans="1:1" x14ac:dyDescent="0.25">
      <c r="A29" s="1" t="s">
        <v>1193</v>
      </c>
    </row>
    <row r="30" spans="1:1" x14ac:dyDescent="0.25">
      <c r="A30" t="s">
        <v>1194</v>
      </c>
    </row>
    <row r="31" spans="1:1" x14ac:dyDescent="0.25">
      <c r="A31" t="s">
        <v>1195</v>
      </c>
    </row>
    <row r="32" spans="1:1" x14ac:dyDescent="0.25">
      <c r="A32" t="s">
        <v>1208</v>
      </c>
    </row>
    <row r="33" spans="1:12" x14ac:dyDescent="0.25">
      <c r="A33" s="1" t="s">
        <v>1177</v>
      </c>
    </row>
    <row r="34" spans="1:12" x14ac:dyDescent="0.25">
      <c r="A34" t="s">
        <v>1196</v>
      </c>
    </row>
    <row r="35" spans="1:12" x14ac:dyDescent="0.25">
      <c r="A35" t="s">
        <v>1203</v>
      </c>
    </row>
    <row r="36" spans="1:12" x14ac:dyDescent="0.25">
      <c r="A36" s="1" t="s">
        <v>1197</v>
      </c>
    </row>
    <row r="37" spans="1:12" x14ac:dyDescent="0.25">
      <c r="A37" t="s">
        <v>1211</v>
      </c>
    </row>
    <row r="38" spans="1:12" x14ac:dyDescent="0.25">
      <c r="A38" t="s">
        <v>1198</v>
      </c>
    </row>
    <row r="39" spans="1:12" x14ac:dyDescent="0.25">
      <c r="A39" t="s">
        <v>1199</v>
      </c>
    </row>
    <row r="40" spans="1:12" x14ac:dyDescent="0.25">
      <c r="A40" s="1" t="s">
        <v>1177</v>
      </c>
    </row>
    <row r="41" spans="1:12" x14ac:dyDescent="0.25">
      <c r="A41" t="s">
        <v>1200</v>
      </c>
    </row>
    <row r="42" spans="1:12" x14ac:dyDescent="0.25">
      <c r="A42" t="s">
        <v>1204</v>
      </c>
    </row>
    <row r="43" spans="1:12" x14ac:dyDescent="0.25">
      <c r="A43" t="s">
        <v>1201</v>
      </c>
    </row>
    <row r="44" spans="1:12" x14ac:dyDescent="0.25">
      <c r="A44" s="1" t="s">
        <v>1212</v>
      </c>
    </row>
    <row r="45" spans="1:12" x14ac:dyDescent="0.25">
      <c r="A45" t="s">
        <v>1210</v>
      </c>
    </row>
    <row r="46" spans="1:12" x14ac:dyDescent="0.25">
      <c r="A46" t="s">
        <v>1205</v>
      </c>
    </row>
    <row r="47" spans="1:12" x14ac:dyDescent="0.25">
      <c r="A47" s="1" t="s">
        <v>1177</v>
      </c>
    </row>
    <row r="48" spans="1:12" x14ac:dyDescent="0.25">
      <c r="A48" t="s">
        <v>1206</v>
      </c>
      <c r="L48" s="21"/>
    </row>
    <row r="49" spans="1:1" x14ac:dyDescent="0.25">
      <c r="A49" t="s">
        <v>1207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39CB3-AA76-45FB-AA10-81E0DFF08A37}">
  <dimension ref="A1"/>
  <sheetViews>
    <sheetView showGridLines="0" topLeftCell="B1" zoomScale="109" zoomScaleNormal="121" workbookViewId="0">
      <selection activeCell="AJ29" sqref="AJ29"/>
    </sheetView>
  </sheetViews>
  <sheetFormatPr defaultRowHeight="15"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clean_data</vt:lpstr>
      <vt:lpstr>pivot_tabel</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4111421064</cp:lastModifiedBy>
  <dcterms:created xsi:type="dcterms:W3CDTF">2025-11-07T11:25:14Z</dcterms:created>
  <dcterms:modified xsi:type="dcterms:W3CDTF">2025-11-08T08:22:23Z</dcterms:modified>
</cp:coreProperties>
</file>